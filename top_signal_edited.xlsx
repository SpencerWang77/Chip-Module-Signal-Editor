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填表须知" sheetId="1" state="visible" r:id="rId1"/>
    <sheet name="1.IP list" sheetId="2" state="visible" r:id="rId2"/>
    <sheet name="2.AD_AA" sheetId="3" state="visible" r:id="rId3"/>
    <sheet name="3.register" sheetId="4" state="visible" r:id="rId4"/>
    <sheet name="4.LF_Pinmap" sheetId="5" state="visible" r:id="rId5"/>
    <sheet name="PMU测试" sheetId="6" state="hidden" r:id="rId6"/>
  </sheets>
  <definedNames>
    <definedName name="_xlnm._FilterDatabase" localSheetId="2" hidden="1">'2.AD_AA'!$A$1:$T$256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等线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sz val="11"/>
    </font>
    <font>
      <name val="等线"/>
      <charset val="134"/>
      <b val="1"/>
      <color theme="1"/>
      <sz val="72"/>
      <scheme val="minor"/>
    </font>
    <font>
      <name val="等线"/>
      <charset val="134"/>
      <color theme="1"/>
      <sz val="12"/>
      <scheme val="minor"/>
    </font>
    <font>
      <name val="等线"/>
      <charset val="134"/>
      <sz val="12"/>
      <scheme val="minor"/>
    </font>
    <font>
      <name val="等线"/>
      <charset val="134"/>
      <color rgb="FFFFC000"/>
      <sz val="12"/>
      <scheme val="minor"/>
    </font>
    <font>
      <name val="等线"/>
      <charset val="134"/>
      <color rgb="FF00B050"/>
      <sz val="12"/>
      <scheme val="minor"/>
    </font>
    <font>
      <name val="等线"/>
      <charset val="134"/>
      <color theme="9" tint="-0.249977111117893"/>
      <sz val="12"/>
      <scheme val="minor"/>
    </font>
    <font>
      <name val="等线"/>
      <charset val="134"/>
      <color rgb="FFFF0000"/>
      <sz val="12"/>
      <scheme val="minor"/>
    </font>
    <font>
      <name val="等线"/>
      <charset val="134"/>
      <color rgb="FF000000"/>
      <sz val="12"/>
      <scheme val="minor"/>
    </font>
    <font>
      <name val="等线"/>
      <charset val="134"/>
      <color theme="7"/>
      <sz val="12"/>
      <scheme val="minor"/>
    </font>
    <font>
      <name val="等线"/>
      <charset val="134"/>
      <color rgb="FF92D050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9" tint="-0.249977111117893"/>
      <sz val="11"/>
      <scheme val="minor"/>
    </font>
    <font>
      <name val="等线"/>
      <charset val="134"/>
      <color rgb="FFFFC000"/>
      <sz val="11"/>
      <scheme val="minor"/>
    </font>
    <font>
      <name val="宋体"/>
      <charset val="134"/>
      <b val="1"/>
      <sz val="9"/>
    </font>
    <font>
      <name val="宋体"/>
      <charset val="134"/>
      <b val="1"/>
      <sz val="18"/>
    </font>
    <font>
      <name val="宋体"/>
      <charset val="134"/>
      <sz val="9"/>
    </font>
    <font>
      <name val="等线"/>
      <charset val="0"/>
      <color rgb="FF000000"/>
      <sz val="11"/>
      <scheme val="minor"/>
    </font>
    <font>
      <name val="宋体"/>
      <charset val="134"/>
      <sz val="18"/>
    </font>
  </fonts>
  <fills count="41">
    <fill>
      <patternFill/>
    </fill>
    <fill>
      <patternFill patternType="gray125"/>
    </fill>
    <fill>
      <patternFill patternType="solid">
        <fgColor rgb="FFED43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12" borderId="3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4" applyAlignment="1">
      <alignment vertical="center"/>
    </xf>
    <xf numFmtId="0" fontId="20" fillId="0" borderId="34" applyAlignment="1">
      <alignment vertical="center"/>
    </xf>
    <xf numFmtId="0" fontId="21" fillId="0" borderId="35" applyAlignment="1">
      <alignment vertical="center"/>
    </xf>
    <xf numFmtId="0" fontId="21" fillId="0" borderId="0" applyAlignment="1">
      <alignment vertical="center"/>
    </xf>
    <xf numFmtId="0" fontId="22" fillId="13" borderId="36" applyAlignment="1">
      <alignment vertical="center"/>
    </xf>
    <xf numFmtId="0" fontId="23" fillId="14" borderId="37" applyAlignment="1">
      <alignment vertical="center"/>
    </xf>
    <xf numFmtId="0" fontId="24" fillId="14" borderId="36" applyAlignment="1">
      <alignment vertical="center"/>
    </xf>
    <xf numFmtId="0" fontId="25" fillId="15" borderId="38" applyAlignment="1">
      <alignment vertical="center"/>
    </xf>
    <xf numFmtId="0" fontId="26" fillId="0" borderId="39" applyAlignment="1">
      <alignment vertical="center"/>
    </xf>
    <xf numFmtId="0" fontId="27" fillId="0" borderId="4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2" fillId="40" borderId="0" applyAlignment="1">
      <alignment vertical="center"/>
    </xf>
    <xf numFmtId="0" fontId="32" fillId="5" borderId="0" applyAlignment="1">
      <alignment vertical="center"/>
    </xf>
    <xf numFmtId="0" fontId="31" fillId="11" borderId="0" applyAlignment="1">
      <alignment vertical="center"/>
    </xf>
  </cellStyleXfs>
  <cellXfs count="1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6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4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/>
    </xf>
    <xf numFmtId="0" fontId="0" fillId="3" borderId="17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4" applyAlignment="1" pivotButton="0" quotePrefix="0" xfId="0">
      <alignment vertical="center"/>
    </xf>
    <xf numFmtId="0" fontId="0" fillId="3" borderId="4" pivotButton="0" quotePrefix="0" xfId="0"/>
    <xf numFmtId="0" fontId="0" fillId="3" borderId="18" applyAlignment="1" pivotButton="0" quotePrefix="0" xfId="0">
      <alignment horizontal="center" vertical="center"/>
    </xf>
    <xf numFmtId="0" fontId="0" fillId="3" borderId="19" pivotButton="0" quotePrefix="0" xfId="0"/>
    <xf numFmtId="0" fontId="0" fillId="3" borderId="20" pivotButton="0" quotePrefix="0" xfId="0"/>
    <xf numFmtId="0" fontId="0" fillId="3" borderId="21" applyAlignment="1" pivotButton="0" quotePrefix="0" xfId="0">
      <alignment horizontal="center"/>
    </xf>
    <xf numFmtId="0" fontId="0" fillId="3" borderId="19" applyAlignment="1" pivotButton="0" quotePrefix="0" xfId="0">
      <alignment horizontal="center"/>
    </xf>
    <xf numFmtId="0" fontId="0" fillId="3" borderId="22" applyAlignment="1" pivotButton="0" quotePrefix="0" xfId="0">
      <alignment horizontal="center"/>
    </xf>
    <xf numFmtId="0" fontId="0" fillId="3" borderId="23" applyAlignment="1" pivotButton="0" quotePrefix="0" xfId="0">
      <alignment vertical="center"/>
    </xf>
    <xf numFmtId="0" fontId="0" fillId="3" borderId="24" applyAlignment="1" pivotButton="0" quotePrefix="0" xfId="0">
      <alignment horizontal="center" vertical="center"/>
    </xf>
    <xf numFmtId="0" fontId="0" fillId="3" borderId="25" applyAlignment="1" pivotButton="0" quotePrefix="0" xfId="0">
      <alignment vertical="center"/>
    </xf>
    <xf numFmtId="0" fontId="0" fillId="3" borderId="26" applyAlignment="1" pivotButton="0" quotePrefix="0" xfId="0">
      <alignment horizontal="center" vertical="center"/>
    </xf>
    <xf numFmtId="0" fontId="0" fillId="3" borderId="27" pivotButton="0" quotePrefix="0" xfId="0"/>
    <xf numFmtId="0" fontId="0" fillId="3" borderId="28" pivotButton="0" quotePrefix="0" xfId="0"/>
    <xf numFmtId="0" fontId="0" fillId="3" borderId="23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0" fontId="0" fillId="3" borderId="30" pivotButton="0" quotePrefix="0" xfId="0"/>
    <xf numFmtId="0" fontId="0" fillId="3" borderId="0" pivotButton="0" quotePrefix="0" xfId="0"/>
    <xf numFmtId="0" fontId="0" fillId="3" borderId="31" pivotButton="0" quotePrefix="0" xfId="0"/>
    <xf numFmtId="0" fontId="0" fillId="3" borderId="14" pivotButton="0" quotePrefix="0" xfId="0"/>
    <xf numFmtId="0" fontId="0" fillId="3" borderId="25" applyAlignment="1" pivotButton="0" quotePrefix="0" xfId="0">
      <alignment horizontal="center" vertical="center"/>
    </xf>
    <xf numFmtId="0" fontId="0" fillId="3" borderId="15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23" pivotButton="0" quotePrefix="0" xfId="0"/>
    <xf numFmtId="0" fontId="0" fillId="3" borderId="25" pivotButton="0" quotePrefix="0" xfId="0"/>
    <xf numFmtId="0" fontId="0" fillId="3" borderId="14" applyAlignment="1" pivotButton="0" quotePrefix="0" xfId="0">
      <alignment horizontal="center"/>
    </xf>
    <xf numFmtId="0" fontId="0" fillId="3" borderId="17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32" applyAlignment="1" pivotButton="0" quotePrefix="0" xfId="0">
      <alignment horizontal="center" vertical="center"/>
    </xf>
    <xf numFmtId="0" fontId="5" fillId="3" borderId="4" pivotButton="0" quotePrefix="0" xfId="0"/>
    <xf numFmtId="0" fontId="5" fillId="3" borderId="14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6" fillId="5" borderId="2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6" fillId="5" borderId="32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7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left"/>
    </xf>
    <xf numFmtId="0" fontId="7" fillId="0" borderId="25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11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 wrapText="1"/>
    </xf>
    <xf numFmtId="0" fontId="5" fillId="3" borderId="4" applyAlignment="1" pivotButton="0" quotePrefix="1" xfId="0">
      <alignment horizontal="center" vertical="center" wrapText="1"/>
    </xf>
    <xf numFmtId="0" fontId="5" fillId="0" borderId="4" applyAlignment="1" pivotButton="0" quotePrefix="1" xfId="0">
      <alignment horizontal="center"/>
    </xf>
    <xf numFmtId="0" fontId="0" fillId="0" borderId="15" pivotButton="0" quotePrefix="0" xfId="0"/>
    <xf numFmtId="0" fontId="0" fillId="0" borderId="32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3" borderId="41" applyAlignment="1" pivotButton="0" quotePrefix="0" xfId="0">
      <alignment horizontal="center"/>
    </xf>
    <xf numFmtId="0" fontId="0" fillId="0" borderId="2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3" borderId="4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10" pivotButton="0" quotePrefix="0" xfId="0"/>
    <xf numFmtId="0" fontId="0" fillId="0" borderId="31" pivotButton="0" quotePrefix="0" xfId="0"/>
    <xf numFmtId="0" fontId="5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张倩</author>
  </authors>
  <commentList>
    <comment ref="B7" authorId="0" shapeId="0">
      <text>
        <t xml:space="preserve">张倩:
原5500表格没有
</t>
      </text>
    </comment>
  </commentList>
</comments>
</file>

<file path=xl/comments/comment2.xml><?xml version="1.0" encoding="utf-8"?>
<comments xmlns="http://schemas.openxmlformats.org/spreadsheetml/2006/main">
  <authors>
    <author>作者</author>
    <author>张倩</author>
  </authors>
  <commentList>
    <comment ref="B1" authorId="0" shapeId="0">
      <text>
        <t>作者:
MODULE1_name.MODULE1_instance_name</t>
      </text>
    </comment>
    <comment ref="C1" authorId="0" shapeId="0">
      <text>
        <t>作者:
MODULE2_name.MODULE2_instance_name 
or it can be:
TOP:top_signal_name</t>
      </text>
    </comment>
    <comment ref="D1" authorId="0" shapeId="0">
      <text>
        <t>作者:
It should match the name of MODULE1 port name
Default signal name in TOP will be MODULE1_instance_name_SIGNAL_NAME</t>
      </text>
    </comment>
    <comment ref="D11" authorId="1" shapeId="0">
      <text>
        <t>张倩:
张倩:使用55 32K的端口？或者加top_reg口？</t>
      </text>
    </comment>
    <comment ref="C80" authorId="1" shapeId="0">
      <text>
        <t xml:space="preserve">张倩:
floating 但保留
</t>
      </text>
    </comment>
    <comment ref="C192" authorId="1" shapeId="0">
      <text>
        <t>张倩:
错误，应该连到PAD口，影响gain error3%以上</t>
      </text>
    </comment>
    <comment ref="C193" authorId="1" shapeId="0">
      <text>
        <t>张倩:
错误，应该连到PAD口，影响gain error3%以上</t>
      </text>
    </comment>
    <comment ref="C208" authorId="1" shapeId="0">
      <text>
        <t>张倩:
错误，应该连到PAD口，影响gain error3%以上</t>
      </text>
    </comment>
  </commentList>
</comments>
</file>

<file path=xl/comments/comment3.xml><?xml version="1.0" encoding="utf-8"?>
<comments xmlns="http://schemas.openxmlformats.org/spreadsheetml/2006/main">
  <authors>
    <author>应晓俊</author>
    <author>None</author>
  </authors>
  <commentList>
    <comment ref="E1" authorId="0" shapeId="0">
      <text>
        <t>应晓俊:
This is an example showing the default values/format of the register comment section. 
[property]
clk = clk_0 
It specifies which clock to use for FF. Other possible values could be:
clk_1,...,clk_freerunning. 
rstn = rstn_0
It specifies which active low reset to use for FF. Other possbile values could be:
rstn_1,...,rstn_POR,rstn_NA(no reset intended). 
ext_gen = 0
It specifies whether to pass on the bus access information to external modules. 
wr_protect = my_protect_en
It specifies the extra enable signal for bus access.
wr = W0CW1S
It specifies the FF write mechanism. Other possible values could be:
W1C(write 1 clear)/W0C(write 0 clear)/W1S(write 1 set)/W0S(write 0 set)/W1T(write 1 toggle)/W0T(write 0 toggle)/PULSE0(write 0 to generate active low pulse)/PULSE1(write 1 to generate active high pulse):RC(read clear)/RS(read set)/RT(read toggle).HW(update by other modules).
rd = Q
It specifies the bus read mechanism. Other possible values could be:
ext(update by other modules or tied to constant outside)
static = 0
It specifies whether this register can be considered as static for DC/spyglass analysis.
the above property can be selectively overwritten by specifying the new configuration in the notes. 
[data]
0x00 = TEXT0 #setting 0
0x01 = TEXT1 #setting 1 
....
0x05 = TEXT5</t>
      </text>
    </comment>
    <comment ref="E6" authorId="1" shapeId="0">
      <text>
        <t xml:space="preserve">[property]
wr=na
rd=ext
</t>
      </text>
    </comment>
    <comment ref="I7" authorId="1" shapeId="0">
      <text>
        <t xml:space="preserve">[property]
wr=na
rd=ext
</t>
      </text>
    </comment>
    <comment ref="L12" authorId="1" shapeId="0">
      <text>
        <t xml:space="preserve">[property]
wr=na
rd=ext
</t>
      </text>
    </comment>
    <comment ref="L20" authorId="1" shapeId="0">
      <text>
        <t xml:space="preserve">[property]
wr=na
rd=ext
</t>
      </text>
    </comment>
    <comment ref="L25" authorId="1" shapeId="0">
      <text>
        <t xml:space="preserve">[property]
wr=na
rd=ext
</t>
      </text>
    </comment>
    <comment ref="L45" authorId="0" shapeId="0">
      <text>
        <t>[property]
wr=na
rd=ext</t>
      </text>
    </comment>
    <comment ref="L47" authorId="1" shapeId="0">
      <text>
        <t xml:space="preserve">[property]
wr=na
rd=ext
</t>
      </text>
    </comment>
    <comment ref="L49" authorId="1" shapeId="0">
      <text>
        <t xml:space="preserve">[property]
wr=na
rd=ext
</t>
      </text>
    </comment>
    <comment ref="K54" authorId="1" shapeId="0">
      <text>
        <t xml:space="preserve">[property]
wr=na
rd=ext
</t>
      </text>
    </comment>
    <comment ref="L54" authorId="1" shapeId="0">
      <text>
        <t xml:space="preserve">[property]
wr=na
rd=ext
</t>
      </text>
    </comment>
    <comment ref="K69" authorId="0" shapeId="0">
      <text>
        <t>[property]
wr=na
rd=ext</t>
      </text>
    </comment>
    <comment ref="E122" authorId="0" shapeId="0">
      <text>
        <t>[property]
wr=na
rd=ext</t>
      </text>
    </comment>
    <comment ref="E123" authorId="0" shapeId="0">
      <text>
        <t>[property]
wr=na
rd=ext</t>
      </text>
    </comment>
    <comment ref="E124" authorId="0" shapeId="0">
      <text>
        <t>[property]
wr=na
rd=ext</t>
      </text>
    </comment>
    <comment ref="E125" authorId="0" shapeId="0">
      <text>
        <t>[property]
wr=na
rd=ext</t>
      </text>
    </comment>
    <comment ref="I126" authorId="0" shapeId="0">
      <text>
        <t>[property]
wr=na
rd=ext</t>
      </text>
    </comment>
    <comment ref="J170" authorId="1" shapeId="0">
      <text>
        <t xml:space="preserve">[property]
wr=na
rd=ext
</t>
      </text>
    </comment>
    <comment ref="K170" authorId="1" shapeId="0">
      <text>
        <t xml:space="preserve">[property]
wr=na
rd=ext
</t>
      </text>
    </comment>
    <comment ref="L170" authorId="1" shapeId="0">
      <text>
        <t xml:space="preserve">[property]
wr=na
rd=ext
</t>
      </text>
    </comment>
    <comment ref="L269" authorId="1" shapeId="0">
      <text>
        <t xml:space="preserve">[property]
wr=na
rd=ext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D16"/>
  <sheetViews>
    <sheetView workbookViewId="0">
      <selection activeCell="D10" sqref="D10"/>
    </sheetView>
  </sheetViews>
  <sheetFormatPr baseColWidth="8" defaultColWidth="9" defaultRowHeight="14.25"/>
  <cols>
    <col width="34.775" customWidth="1" style="127" min="2" max="2"/>
    <col width="20.3333333333333" customWidth="1" style="127" min="3" max="3"/>
    <col width="47.2166666666667" customWidth="1" style="127" min="4" max="4"/>
  </cols>
  <sheetData>
    <row r="2">
      <c r="B2" s="128" t="inlineStr">
        <is>
          <t>内容项说明</t>
        </is>
      </c>
      <c r="C2" s="128" t="inlineStr">
        <is>
          <t>填写格式</t>
        </is>
      </c>
      <c r="D2" s="128" t="inlineStr">
        <is>
          <t>注意事项</t>
        </is>
      </c>
    </row>
    <row r="3" ht="114" customHeight="1" s="26">
      <c r="B3" s="129" t="inlineStr">
        <is>
          <t>1.IP list 
5500和9000 IP list
2.AD_AA
端口连接、功能描述、寄存器默认值等
3.register 
寄存器地址
4.LF_Pinmap
封装打线信息</t>
        </is>
      </c>
      <c r="C3" s="128" t="n"/>
      <c r="D3" s="128" t="n"/>
    </row>
    <row r="7">
      <c r="B7" s="128" t="inlineStr">
        <is>
          <t>时间</t>
        </is>
      </c>
      <c r="C7" s="128" t="inlineStr">
        <is>
          <t>责任人</t>
        </is>
      </c>
      <c r="D7" s="128" t="inlineStr">
        <is>
          <t>改动内容</t>
        </is>
      </c>
    </row>
    <row r="8" ht="57" customHeight="1" s="26">
      <c r="B8" s="128" t="n">
        <v>20251114</v>
      </c>
      <c r="C8" s="128" t="inlineStr">
        <is>
          <t>张倩</t>
        </is>
      </c>
      <c r="D8" s="129" t="inlineStr">
        <is>
          <t>初版：更新1.IP list
检查2.AD_AA数模接口
比较与5500的区别
红：删除；绿：添加；黄：修改</t>
        </is>
      </c>
    </row>
    <row r="9" ht="57" customHeight="1" s="26">
      <c r="B9" s="128" t="n">
        <v>20251209</v>
      </c>
      <c r="C9" s="128" t="inlineStr">
        <is>
          <t>应晓俊</t>
        </is>
      </c>
      <c r="D9" s="129" t="inlineStr">
        <is>
          <t>AD_AA恢复REG列; 
接到寄存器的O类型信号增加地址;
pmu_reg恢复[31:0], 模拟内部链接写在description里；
更新寄存器表后删除了减少的模块；</t>
        </is>
      </c>
    </row>
    <row r="10">
      <c r="B10" s="128" t="n"/>
      <c r="C10" s="128" t="n"/>
      <c r="D10" s="128" t="n"/>
    </row>
    <row r="11">
      <c r="B11" s="128" t="n"/>
      <c r="C11" s="128" t="n"/>
      <c r="D11" s="128" t="n"/>
    </row>
    <row r="12">
      <c r="B12" s="128" t="n"/>
      <c r="C12" s="128" t="n"/>
      <c r="D12" s="128" t="n"/>
    </row>
    <row r="13">
      <c r="B13" s="128" t="n"/>
      <c r="C13" s="128" t="n"/>
      <c r="D13" s="128" t="n"/>
    </row>
    <row r="14">
      <c r="B14" s="128" t="n"/>
      <c r="C14" s="128" t="n"/>
      <c r="D14" s="128" t="n"/>
    </row>
    <row r="15">
      <c r="B15" s="128" t="n"/>
      <c r="C15" s="128" t="n"/>
      <c r="D15" s="128" t="n"/>
    </row>
    <row r="16">
      <c r="B16" s="128" t="n"/>
      <c r="C16" s="128" t="n"/>
      <c r="D16" s="1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C19"/>
  <sheetViews>
    <sheetView workbookViewId="0">
      <selection activeCell="D36" sqref="D36"/>
    </sheetView>
  </sheetViews>
  <sheetFormatPr baseColWidth="8" defaultColWidth="9" defaultRowHeight="14.25"/>
  <cols>
    <col width="11.4416666666667" customWidth="1" style="26" min="2" max="2"/>
    <col width="10.775" customWidth="1" style="26" min="3" max="3"/>
  </cols>
  <sheetData>
    <row r="2">
      <c r="B2" s="126" t="inlineStr">
        <is>
          <t>IP list</t>
        </is>
      </c>
      <c r="C2" s="132" t="n"/>
    </row>
    <row r="3">
      <c r="B3" s="124" t="n">
        <v>5500</v>
      </c>
      <c r="C3" s="125" t="n">
        <v>9000</v>
      </c>
    </row>
    <row r="4">
      <c r="B4" s="126" t="inlineStr">
        <is>
          <t>adc</t>
        </is>
      </c>
      <c r="C4" s="126" t="inlineStr">
        <is>
          <t>adc</t>
        </is>
      </c>
    </row>
    <row r="5">
      <c r="B5" s="126" t="inlineStr">
        <is>
          <t>osc32m</t>
        </is>
      </c>
      <c r="C5" s="126" t="n"/>
    </row>
    <row r="6">
      <c r="B6" s="126" t="inlineStr">
        <is>
          <t>32k</t>
        </is>
      </c>
      <c r="C6" s="126" t="n"/>
    </row>
    <row r="7">
      <c r="B7" s="126" t="inlineStr">
        <is>
          <t>38K</t>
        </is>
      </c>
      <c r="C7" s="126" t="inlineStr">
        <is>
          <t>32K</t>
        </is>
      </c>
    </row>
    <row r="8">
      <c r="B8" s="126" t="inlineStr">
        <is>
          <t>pll</t>
        </is>
      </c>
      <c r="C8" s="126" t="inlineStr">
        <is>
          <t>pll</t>
        </is>
      </c>
    </row>
    <row r="9">
      <c r="B9" s="126" t="inlineStr">
        <is>
          <t>pmu</t>
        </is>
      </c>
      <c r="C9" s="126" t="inlineStr">
        <is>
          <t>pmu</t>
        </is>
      </c>
    </row>
    <row r="10">
      <c r="B10" s="126" t="inlineStr">
        <is>
          <t>tsensor</t>
        </is>
      </c>
      <c r="C10" s="126" t="n"/>
    </row>
    <row r="11">
      <c r="B11" s="126" t="inlineStr">
        <is>
          <t>cmp</t>
        </is>
      </c>
      <c r="C11" s="126" t="inlineStr">
        <is>
          <t>cmp</t>
        </is>
      </c>
    </row>
    <row r="12">
      <c r="B12" s="126" t="inlineStr">
        <is>
          <t>pga</t>
        </is>
      </c>
      <c r="C12" s="126" t="n"/>
    </row>
    <row r="13">
      <c r="B13" s="126" t="inlineStr">
        <is>
          <t>dac</t>
        </is>
      </c>
      <c r="C13" s="126" t="inlineStr">
        <is>
          <t>dac</t>
        </is>
      </c>
    </row>
    <row r="14">
      <c r="B14" s="126" t="inlineStr">
        <is>
          <t>osc48m</t>
        </is>
      </c>
      <c r="C14" s="126" t="inlineStr">
        <is>
          <t>osc48m</t>
        </is>
      </c>
    </row>
    <row r="15">
      <c r="B15" s="126" t="inlineStr">
        <is>
          <t>tsensoradc</t>
        </is>
      </c>
      <c r="C15" s="126" t="n"/>
    </row>
    <row r="16">
      <c r="B16" s="126" t="inlineStr">
        <is>
          <t>top</t>
        </is>
      </c>
      <c r="C16" s="126" t="inlineStr">
        <is>
          <t>top</t>
        </is>
      </c>
    </row>
    <row r="17">
      <c r="B17" s="126" t="inlineStr">
        <is>
          <t>IO</t>
        </is>
      </c>
      <c r="C17" s="126" t="inlineStr">
        <is>
          <t>IO</t>
        </is>
      </c>
    </row>
    <row r="18">
      <c r="C18" s="126" t="inlineStr">
        <is>
          <t>cvr</t>
        </is>
      </c>
    </row>
    <row r="19">
      <c r="C19" s="126" t="inlineStr">
        <is>
          <t>ulppmu</t>
        </is>
      </c>
    </row>
  </sheetData>
  <mergeCells count="1">
    <mergeCell ref="B2:C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 filterMode="1">
    <outlinePr summaryBelow="1" summaryRight="1"/>
    <pageSetUpPr/>
  </sheetPr>
  <dimension ref="A1:T256"/>
  <sheetViews>
    <sheetView tabSelected="1" topLeftCell="J1" zoomScale="85" zoomScaleNormal="85" workbookViewId="0">
      <pane ySplit="1" topLeftCell="A130" activePane="bottomLeft" state="frozen"/>
      <selection activeCell="A1" sqref="A1"/>
      <selection pane="bottomLeft" activeCell="R137" sqref="R137"/>
    </sheetView>
  </sheetViews>
  <sheetFormatPr baseColWidth="8" defaultColWidth="9" defaultRowHeight="15.75"/>
  <cols>
    <col hidden="1" width="27.3333333333333" customWidth="1" style="72" min="1" max="1"/>
    <col width="36.4416666666667" customWidth="1" style="72" min="2" max="2"/>
    <col hidden="1" width="32.2166666666667" customWidth="1" style="75" min="3" max="3"/>
    <col width="26.1083333333333" customWidth="1" style="75" min="4" max="4"/>
    <col hidden="1" width="6.775" customWidth="1" style="72" min="5" max="5"/>
    <col width="25.1083333333333" customWidth="1" style="74" min="6" max="6"/>
    <col hidden="1" width="20" customWidth="1" style="72" min="7" max="7"/>
    <col hidden="1" width="43.3333333333333" customWidth="1" style="75" min="8" max="9"/>
    <col hidden="1" width="13.4416666666667" customWidth="1" style="72" min="10" max="10"/>
    <col hidden="1" width="13.8833333333333" customWidth="1" style="72" min="11" max="11"/>
    <col hidden="1" width="9" customWidth="1" style="72" min="12" max="12"/>
    <col hidden="1" width="38.2166666666667" customWidth="1" style="75" min="13" max="13"/>
    <col hidden="1" width="13.4416666666667" customWidth="1" style="72" min="14" max="14"/>
    <col hidden="1" width="67" customWidth="1" style="72" min="15" max="15"/>
    <col hidden="1" width="9" customWidth="1" style="121" min="16" max="16"/>
    <col width="78.77500000000001" customWidth="1" style="72" min="17" max="17"/>
    <col width="17.8833333333333" customWidth="1" style="75" min="18" max="18"/>
    <col width="26.1083333333333" customWidth="1" style="75" min="19" max="19"/>
    <col hidden="1" width="20" customWidth="1" style="72" min="20" max="20"/>
    <col width="9" customWidth="1" style="72" min="21" max="16384"/>
  </cols>
  <sheetData>
    <row r="1">
      <c r="A1" s="72" t="inlineStr">
        <is>
          <t>筛选</t>
        </is>
      </c>
      <c r="B1" s="77" t="inlineStr">
        <is>
          <t>MODULE1</t>
        </is>
      </c>
      <c r="C1" s="77" t="inlineStr">
        <is>
          <t>MODULE2</t>
        </is>
      </c>
      <c r="D1" s="77" t="inlineStr">
        <is>
          <t>SIGNAL_NAME</t>
        </is>
      </c>
      <c r="E1" s="83" t="inlineStr">
        <is>
          <t>WIDTH</t>
        </is>
      </c>
      <c r="F1" s="79" t="inlineStr">
        <is>
          <t>PORT_TYPE</t>
        </is>
      </c>
      <c r="G1" s="77" t="inlineStr">
        <is>
          <t>PWR_DOMAIN</t>
        </is>
      </c>
      <c r="H1" s="77" t="inlineStr">
        <is>
          <t>DEFAULT</t>
        </is>
      </c>
      <c r="I1" s="77" t="inlineStr">
        <is>
          <t>REG</t>
        </is>
      </c>
      <c r="J1" s="88" t="inlineStr">
        <is>
          <t>NVR_TRIM</t>
        </is>
      </c>
      <c r="K1" s="88" t="inlineStr">
        <is>
          <t>NVR_ADDR</t>
        </is>
      </c>
      <c r="L1" s="88" t="inlineStr">
        <is>
          <t>NVR_BITS</t>
        </is>
      </c>
      <c r="M1" s="89" t="inlineStr">
        <is>
          <t>TM</t>
        </is>
      </c>
      <c r="N1" s="88" t="inlineStr">
        <is>
          <t>TEST_MUX</t>
        </is>
      </c>
      <c r="O1" s="88" t="inlineStr">
        <is>
          <t>FUNC_MUX</t>
        </is>
      </c>
      <c r="P1" s="90" t="inlineStr">
        <is>
          <t>TEST_GROUP</t>
        </is>
      </c>
      <c r="Q1" s="77" t="inlineStr">
        <is>
          <t>DESCRIPTION</t>
        </is>
      </c>
      <c r="R1" s="83" t="inlineStr">
        <is>
          <t>HEX_BYTE_ADDR</t>
        </is>
      </c>
      <c r="S1" s="83" t="inlineStr">
        <is>
          <t>bits</t>
        </is>
      </c>
      <c r="T1" s="77" t="inlineStr">
        <is>
          <t>current(mA)</t>
        </is>
      </c>
    </row>
    <row r="2" hidden="1" customFormat="1" s="72">
      <c r="A2" s="72" t="inlineStr">
        <is>
          <t>osc32k_new_model.osc32k_inst</t>
        </is>
      </c>
      <c r="B2" s="84" t="inlineStr">
        <is>
          <t>osc32k_new_model.osc32k_inst</t>
        </is>
      </c>
      <c r="C2" s="83" t="inlineStr">
        <is>
          <t>TOP:VCC5V</t>
        </is>
      </c>
      <c r="D2" s="83" t="inlineStr">
        <is>
          <t>VDDD</t>
        </is>
      </c>
      <c r="E2" s="83">
        <f>IF(AND(ISNUMBER(FIND("[",D2)),ISNUMBER(FIND("]",D2)),ISNUMBER(FIND(":",D2))),MID(D2,FIND("[",D2)+1,FIND(":",D2)-FIND("[",D2)-1)+1-MID(D2,FIND(":",D2)+1,FIND("]",D2)-FIND(":",D2)-1),IF(OR(ISNUMBER(FIND("[",D2)),ISNUMBER(FIND("]",D2)),ISNUMBER(FIND(":",D2))),"ERROR",1))</f>
        <v/>
      </c>
      <c r="F2" s="119" t="inlineStr">
        <is>
          <t>P</t>
        </is>
      </c>
      <c r="G2" s="83" t="n"/>
      <c r="H2" s="83" t="n"/>
      <c r="I2" s="102" t="n"/>
      <c r="Q2" s="102" t="n"/>
      <c r="R2" s="83" t="n"/>
      <c r="S2" s="83" t="n"/>
      <c r="T2" s="83" t="n"/>
    </row>
    <row r="3" hidden="1" customFormat="1" s="72">
      <c r="A3" s="72" t="inlineStr">
        <is>
          <t>osc32k_new_model.osc32k_inst</t>
        </is>
      </c>
      <c r="B3" s="133" t="n"/>
      <c r="C3" s="83" t="inlineStr">
        <is>
          <t>TOP:VSSA</t>
        </is>
      </c>
      <c r="D3" s="83" t="inlineStr">
        <is>
          <t>VSSA</t>
        </is>
      </c>
      <c r="E3" s="83">
        <f>IF(AND(ISNUMBER(FIND("[",D3)),ISNUMBER(FIND("]",D3)),ISNUMBER(FIND(":",D3))),MID(D3,FIND("[",D3)+1,FIND(":",D3)-FIND("[",D3)-1)+1-MID(D3,FIND(":",D3)+1,FIND("]",D3)-FIND(":",D3)-1),IF(OR(ISNUMBER(FIND("[",D3)),ISNUMBER(FIND("]",D3)),ISNUMBER(FIND(":",D3))),"ERROR",1))</f>
        <v/>
      </c>
      <c r="F3" s="119" t="inlineStr">
        <is>
          <t>G</t>
        </is>
      </c>
      <c r="G3" s="83" t="n"/>
      <c r="H3" s="83" t="n"/>
      <c r="I3" s="83" t="n"/>
      <c r="Q3" s="83" t="n"/>
      <c r="R3" s="83" t="n"/>
      <c r="S3" s="83" t="n"/>
      <c r="T3" s="83" t="n"/>
    </row>
    <row r="4" hidden="1" customFormat="1" s="72">
      <c r="A4" s="72" t="inlineStr">
        <is>
          <t>osc32k_new_model.osc32k_inst</t>
        </is>
      </c>
      <c r="B4" s="133" t="n"/>
      <c r="C4" s="83" t="inlineStr">
        <is>
          <t>TOP:VSSD</t>
        </is>
      </c>
      <c r="D4" s="83" t="inlineStr">
        <is>
          <t>VSSD</t>
        </is>
      </c>
      <c r="E4" s="83">
        <f>IF(AND(ISNUMBER(FIND("[",D4)),ISNUMBER(FIND("]",D4)),ISNUMBER(FIND(":",D4))),MID(D4,FIND("[",D4)+1,FIND(":",D4)-FIND("[",D4)-1)+1-MID(D4,FIND(":",D4)+1,FIND("]",D4)-FIND(":",D4)-1),IF(OR(ISNUMBER(FIND("[",D4)),ISNUMBER(FIND("]",D4)),ISNUMBER(FIND(":",D4))),"ERROR",1))</f>
        <v/>
      </c>
      <c r="F4" s="119" t="inlineStr">
        <is>
          <t>G</t>
        </is>
      </c>
      <c r="G4" s="83" t="n"/>
      <c r="H4" s="83" t="n"/>
      <c r="I4" s="83" t="n"/>
      <c r="Q4" s="83" t="n"/>
      <c r="R4" s="83" t="n"/>
      <c r="S4" s="83" t="n"/>
      <c r="T4" s="83" t="n"/>
    </row>
    <row r="5" hidden="1" customFormat="1" s="72">
      <c r="A5" s="72" t="inlineStr">
        <is>
          <t>osc32k_new_model.osc32k_inst</t>
        </is>
      </c>
      <c r="B5" s="133" t="n"/>
      <c r="C5" s="83" t="inlineStr">
        <is>
          <t>TOP:osc32k_inst_POC_VCC5</t>
        </is>
      </c>
      <c r="D5" s="83" t="inlineStr">
        <is>
          <t>POC</t>
        </is>
      </c>
      <c r="E5" s="83">
        <f>IF(AND(ISNUMBER(FIND("[",D5)),ISNUMBER(FIND("]",D5)),ISNUMBER(FIND(":",D5))),MID(D5,FIND("[",D5)+1,FIND(":",D5)-FIND("[",D5)-1)+1-MID(D5,FIND(":",D5)+1,FIND("]",D5)-FIND(":",D5)-1),IF(OR(ISNUMBER(FIND("[",D5)),ISNUMBER(FIND("]",D5)),ISNUMBER(FIND(":",D5))),"ERROR",1))</f>
        <v/>
      </c>
      <c r="F5" s="119" t="inlineStr">
        <is>
          <t>AO</t>
        </is>
      </c>
      <c r="G5" s="83" t="n"/>
      <c r="H5" s="83" t="n"/>
      <c r="I5" s="83" t="n"/>
      <c r="Q5" s="83" t="n"/>
      <c r="R5" s="83" t="n"/>
      <c r="S5" s="83" t="n"/>
      <c r="T5" s="83" t="n"/>
    </row>
    <row r="6" ht="78.75" customFormat="1" customHeight="1" s="72">
      <c r="A6" s="72" t="inlineStr">
        <is>
          <t>osc32k_new_model.osc32k_inst</t>
        </is>
      </c>
      <c r="B6" s="133" t="n"/>
      <c r="C6" s="83" t="inlineStr">
        <is>
          <t>core_pd.core_pd_inst</t>
        </is>
      </c>
      <c r="D6" s="83" t="inlineStr">
        <is>
          <t>LI_EN</t>
        </is>
      </c>
      <c r="E6" s="83">
        <f>IF(AND(ISNUMBER(FIND("[",D6)),ISNUMBER(FIND("]",D6)),ISNUMBER(FIND(":",D6))),MID(D6,FIND("[",D6)+1,FIND(":",D6)-FIND("[",D6)-1)+1-MID(D6,FIND(":",D6)+1,FIND("]",D6)-FIND(":",D6)-1),IF(OR(ISNUMBER(FIND("[",D6)),ISNUMBER(FIND("]",D6)),ISNUMBER(FIND(":",D6))),"ERROR",1))</f>
        <v/>
      </c>
      <c r="F6" s="119" t="inlineStr">
        <is>
          <t>I</t>
        </is>
      </c>
      <c r="G6" s="83" t="n"/>
      <c r="H6" s="83" t="inlineStr">
        <is>
          <t>b0</t>
        </is>
      </c>
      <c r="I6" s="83" t="inlineStr">
        <is>
          <t>YES</t>
        </is>
      </c>
      <c r="J6" s="88" t="n"/>
      <c r="K6" s="88" t="n"/>
      <c r="L6" s="88" t="n"/>
      <c r="M6" s="89">
        <f>H6</f>
        <v/>
      </c>
      <c r="N6" s="88" t="n"/>
      <c r="O6" s="88">
        <f>IF(AND(OR(EXACT(F6,"I"),EXACT(F6,"O")),NOT(EXACT(P6,"NA"))),CONCATENATE("c_reg_test_sel_",RIGHT(IF(B6=0,LOOKUP(2,1/($B$2:B6&lt;&gt;0),$B$2:B6),B6),LEN(IF(B6=0,LOOKUP(2,1/($B$2:B6&lt;&gt;0),$B$2:B6),B6))-FIND(".",IF(B6=0,LOOKUP(2,1/($B$2:B6&lt;&gt;0),$B$2:B6),B6))),IF(0,CONCATENATE("&amp; !c_test_reg_pin_disable_",RIGHT(IF(B6=0,LOOKUP(2,1/($B$2:B6&lt;&gt;0),$B$2:B6),B6),LEN(IF(B6=0,LOOKUP(2,1/($B$2:B6&lt;&gt;0),$B$2:B6),B6))-FIND(".",IF(B6=0,LOOKUP(2,1/($B$2:B6&lt;&gt;0),$B$2:B6),B6)))),""),IF(P6,CONCATENATE("_grp_",P6),""),"/","c_pad_",RIGHT(IF(B6=0,LOOKUP(2,1/($B$2:B6&lt;&gt;0),$B$2:B6),B6),LEN(IF(B6=0,LOOKUP(2,1/($B$2:B6&lt;&gt;0),$B$2:B6),B6))-FIND(".",IF(B6=0,LOOKUP(2,1/($B$2:B6&lt;&gt;0),$B$2:B6),B6))),"_",IF(ISNUMBER(SEARCH("[",D6)),LEFT(D6,FIND("[",D6)-1),D6)),"")</f>
        <v/>
      </c>
      <c r="P6" s="90" t="n"/>
      <c r="Q6" s="119" t="inlineStr">
        <is>
          <t>OSC32K enable
Enable signal of oscillator, high active
EN_OSC = “0”  Disables the
oscillator; EN_OSC= “1”  Enables
the oscillator</t>
        </is>
      </c>
      <c r="R6" s="91" t="inlineStr">
        <is>
          <t>0x0016</t>
        </is>
      </c>
      <c r="S6" s="83" t="n"/>
      <c r="T6" s="83" t="n"/>
    </row>
    <row r="7" hidden="1" customFormat="1" s="72">
      <c r="A7" s="72" t="inlineStr">
        <is>
          <t>osc32k_new_model.osc32k_inst</t>
        </is>
      </c>
      <c r="B7" s="133" t="n"/>
      <c r="C7" s="83" t="inlineStr">
        <is>
          <t>TOP:pmu_inst_Ibias_20n</t>
        </is>
      </c>
      <c r="D7" s="83" t="inlineStr">
        <is>
          <t>I20N</t>
        </is>
      </c>
      <c r="E7" s="83">
        <f>IF(AND(ISNUMBER(FIND("[",D7)),ISNUMBER(FIND("]",D7)),ISNUMBER(FIND(":",D7))),MID(D7,FIND("[",D7)+1,FIND(":",D7)-FIND("[",D7)-1)+1-MID(D7,FIND(":",D7)+1,FIND("]",D7)-FIND(":",D7)-1),IF(OR(ISNUMBER(FIND("[",D7)),ISNUMBER(FIND("]",D7)),ISNUMBER(FIND(":",D7))),"ERROR",1))</f>
        <v/>
      </c>
      <c r="F7" s="119" t="inlineStr">
        <is>
          <t>AO</t>
        </is>
      </c>
      <c r="G7" s="83" t="n"/>
      <c r="H7" s="83" t="n"/>
      <c r="I7" s="102" t="n"/>
      <c r="Q7" s="102" t="n"/>
      <c r="R7" s="83" t="n"/>
      <c r="S7" s="83" t="n"/>
      <c r="T7" s="83" t="n"/>
    </row>
    <row r="8" customFormat="1" s="72">
      <c r="A8" s="72" t="inlineStr">
        <is>
          <t>osc32k_new_model.osc32k_inst</t>
        </is>
      </c>
      <c r="B8" s="133" t="n"/>
      <c r="C8" s="83" t="inlineStr">
        <is>
          <t>core_pd.core_pd_inst</t>
        </is>
      </c>
      <c r="D8" s="111" t="inlineStr">
        <is>
          <t>P_FT[7:0]</t>
        </is>
      </c>
      <c r="E8" s="83">
        <f>IF(AND(ISNUMBER(FIND("[",D8)),ISNUMBER(FIND("]",D8)),ISNUMBER(FIND(":",D8))),MID(D8,FIND("[",D8)+1,FIND(":",D8)-FIND("[",D8)-1)+1-MID(D8,FIND(":",D8)+1,FIND("]",D8)-FIND(":",D8)-1),IF(OR(ISNUMBER(FIND("[",D8)),ISNUMBER(FIND("]",D8)),ISNUMBER(FIND(":",D8))),"ERROR",1))</f>
        <v/>
      </c>
      <c r="F8" s="119" t="inlineStr">
        <is>
          <t>I</t>
        </is>
      </c>
      <c r="G8" s="83" t="n"/>
      <c r="H8" s="83" t="inlineStr">
        <is>
          <t>b01010100</t>
        </is>
      </c>
      <c r="I8" s="83" t="inlineStr">
        <is>
          <t>YES</t>
        </is>
      </c>
      <c r="J8" s="88" t="n"/>
      <c r="K8" s="88" t="n"/>
      <c r="L8" s="88" t="n"/>
      <c r="M8" s="89">
        <f>H8</f>
        <v/>
      </c>
      <c r="N8" s="88" t="n"/>
      <c r="O8" s="88">
        <f>IF(AND(OR(EXACT(F8,"I"),EXACT(F8,"O")),NOT(EXACT(P8,"NA"))),CONCATENATE("c_reg_test_sel_",RIGHT(IF(B8=0,LOOKUP(2,1/($B$2:B8&lt;&gt;0),$B$2:B8),B8),LEN(IF(B8=0,LOOKUP(2,1/($B$2:B8&lt;&gt;0),$B$2:B8),B8))-FIND(".",IF(B8=0,LOOKUP(2,1/($B$2:B8&lt;&gt;0),$B$2:B8),B8))),IF(0,CONCATENATE("&amp; !c_test_reg_pin_disable_",RIGHT(IF(B8=0,LOOKUP(2,1/($B$2:B8&lt;&gt;0),$B$2:B8),B8),LEN(IF(B8=0,LOOKUP(2,1/($B$2:B8&lt;&gt;0),$B$2:B8),B8))-FIND(".",IF(B8=0,LOOKUP(2,1/($B$2:B8&lt;&gt;0),$B$2:B8),B8)))),""),IF(P8,CONCATENATE("_grp_",P8),""),"/","c_pad_",RIGHT(IF(B8=0,LOOKUP(2,1/($B$2:B8&lt;&gt;0),$B$2:B8),B8),LEN(IF(B8=0,LOOKUP(2,1/($B$2:B8&lt;&gt;0),$B$2:B8),B8))-FIND(".",IF(B8=0,LOOKUP(2,1/($B$2:B8&lt;&gt;0),$B$2:B8),B8))),"_",IF(ISNUMBER(SEARCH("[",D8)),LEFT(D8,FIND("[",D8)-1),D8)),"")</f>
        <v/>
      </c>
      <c r="P8" s="90" t="n"/>
      <c r="Q8" s="111" t="inlineStr">
        <is>
          <t>少一位</t>
        </is>
      </c>
      <c r="R8" s="91" t="inlineStr">
        <is>
          <t>0x0014</t>
        </is>
      </c>
      <c r="S8" s="83" t="n"/>
      <c r="T8" s="83" t="n"/>
    </row>
    <row r="9" customFormat="1" s="72">
      <c r="A9" s="72" t="inlineStr">
        <is>
          <t>osc32k_new_model.osc32k_inst</t>
        </is>
      </c>
      <c r="B9" s="133" t="n"/>
      <c r="C9" s="83" t="inlineStr">
        <is>
          <t>core_pd.core_pd_inst</t>
        </is>
      </c>
      <c r="D9" s="111" t="inlineStr">
        <is>
          <t>S_FT[4:0]</t>
        </is>
      </c>
      <c r="E9" s="83">
        <f>IF(AND(ISNUMBER(FIND("[",D9)),ISNUMBER(FIND("]",D9)),ISNUMBER(FIND(":",D9))),MID(D9,FIND("[",D9)+1,FIND(":",D9)-FIND("[",D9)-1)+1-MID(D9,FIND(":",D9)+1,FIND("]",D9)-FIND(":",D9)-1),IF(OR(ISNUMBER(FIND("[",D9)),ISNUMBER(FIND("]",D9)),ISNUMBER(FIND(":",D9))),"ERROR",1))</f>
        <v/>
      </c>
      <c r="F9" s="119" t="inlineStr">
        <is>
          <t>I</t>
        </is>
      </c>
      <c r="G9" s="83" t="n"/>
      <c r="H9" s="83" t="inlineStr">
        <is>
          <t>b11100</t>
        </is>
      </c>
      <c r="I9" s="83" t="inlineStr">
        <is>
          <t>YES</t>
        </is>
      </c>
      <c r="J9" s="88" t="n"/>
      <c r="K9" s="88" t="n"/>
      <c r="L9" s="88" t="n"/>
      <c r="M9" s="89">
        <f>H9</f>
        <v/>
      </c>
      <c r="N9" s="88" t="n"/>
      <c r="O9" s="88">
        <f>IF(AND(OR(EXACT(F9,"I"),EXACT(F9,"O")),NOT(EXACT(P9,"NA"))),CONCATENATE("c_reg_test_sel_",RIGHT(IF(B9=0,LOOKUP(2,1/($B$2:B9&lt;&gt;0),$B$2:B9),B9),LEN(IF(B9=0,LOOKUP(2,1/($B$2:B9&lt;&gt;0),$B$2:B9),B9))-FIND(".",IF(B9=0,LOOKUP(2,1/($B$2:B9&lt;&gt;0),$B$2:B9),B9))),IF(0,CONCATENATE("&amp; !c_test_reg_pin_disable_",RIGHT(IF(B9=0,LOOKUP(2,1/($B$2:B9&lt;&gt;0),$B$2:B9),B9),LEN(IF(B9=0,LOOKUP(2,1/($B$2:B9&lt;&gt;0),$B$2:B9),B9))-FIND(".",IF(B9=0,LOOKUP(2,1/($B$2:B9&lt;&gt;0),$B$2:B9),B9)))),""),IF(P9,CONCATENATE("_grp_",P9),""),"/","c_pad_",RIGHT(IF(B9=0,LOOKUP(2,1/($B$2:B9&lt;&gt;0),$B$2:B9),B9),LEN(IF(B9=0,LOOKUP(2,1/($B$2:B9&lt;&gt;0),$B$2:B9),B9))-FIND(".",IF(B9=0,LOOKUP(2,1/($B$2:B9&lt;&gt;0),$B$2:B9),B9))),"_",IF(ISNUMBER(SEARCH("[",D9)),LEFT(D9,FIND("[",D9)-1),D9)),"")</f>
        <v/>
      </c>
      <c r="P9" s="90" t="n"/>
      <c r="Q9" s="111" t="inlineStr">
        <is>
          <t>加一位</t>
        </is>
      </c>
      <c r="R9" s="91" t="inlineStr">
        <is>
          <t>0x0015</t>
        </is>
      </c>
      <c r="S9" s="83" t="n"/>
      <c r="T9" s="83" t="n"/>
    </row>
    <row r="10" hidden="1" ht="37.5" customFormat="1" customHeight="1" s="72">
      <c r="A10" s="72" t="inlineStr">
        <is>
          <t>osc32k_new_model.osc32k_inst</t>
        </is>
      </c>
      <c r="B10" s="133" t="n"/>
      <c r="C10" s="83" t="inlineStr">
        <is>
          <t>core_pd.core_pd_inst</t>
        </is>
      </c>
      <c r="D10" s="119" t="inlineStr">
        <is>
          <t>LO_OSC</t>
        </is>
      </c>
      <c r="E10" s="83">
        <f>IF(AND(ISNUMBER(FIND("[",D10)),ISNUMBER(FIND("]",D10)),ISNUMBER(FIND(":",D10))),MID(D10,FIND("[",D10)+1,FIND(":",D10)-FIND("[",D10)-1)+1-MID(D10,FIND(":",D10)+1,FIND("]",D10)-FIND(":",D10)-1),IF(OR(ISNUMBER(FIND("[",D10)),ISNUMBER(FIND("]",D10)),ISNUMBER(FIND(":",D10))),"ERROR",1))</f>
        <v/>
      </c>
      <c r="F10" s="119" t="inlineStr">
        <is>
          <t>O</t>
        </is>
      </c>
      <c r="G10" s="111" t="n"/>
      <c r="H10" s="111" t="n"/>
      <c r="I10" s="93" t="inlineStr">
        <is>
          <t>NO</t>
        </is>
      </c>
      <c r="J10" s="88" t="n"/>
      <c r="K10" s="88" t="n"/>
      <c r="L10" s="88" t="n"/>
      <c r="M10" s="89">
        <f>H10</f>
        <v/>
      </c>
      <c r="N10" s="88" t="n"/>
      <c r="O10" s="88">
        <f>IF(AND(OR(EXACT(F10,"I"),EXACT(F10,"O")),NOT(EXACT(P10,"NA"))),CONCATENATE("c_reg_test_sel_",RIGHT(IF(B10=0,LOOKUP(2,1/($B$2:B10&lt;&gt;0),$B$2:B10),B10),LEN(IF(B10=0,LOOKUP(2,1/($B$2:B10&lt;&gt;0),$B$2:B10),B10))-FIND(".",IF(B10=0,LOOKUP(2,1/($B$2:B10&lt;&gt;0),$B$2:B10),B10))),IF(0,CONCATENATE("&amp; !c_test_reg_pin_disable_",RIGHT(IF(B10=0,LOOKUP(2,1/($B$2:B10&lt;&gt;0),$B$2:B10),B10),LEN(IF(B10=0,LOOKUP(2,1/($B$2:B10&lt;&gt;0),$B$2:B10),B10))-FIND(".",IF(B10=0,LOOKUP(2,1/($B$2:B10&lt;&gt;0),$B$2:B10),B10)))),""),IF(P10,CONCATENATE("_grp_",P10),""),"/","c_pad_",RIGHT(IF(B10=0,LOOKUP(2,1/($B$2:B10&lt;&gt;0),$B$2:B10),B10),LEN(IF(B10=0,LOOKUP(2,1/($B$2:B10&lt;&gt;0),$B$2:B10),B10))-FIND(".",IF(B10=0,LOOKUP(2,1/($B$2:B10&lt;&gt;0),$B$2:B10),B10))),"_",IF(ISNUMBER(SEARCH("[",D10)),LEFT(D10,FIND("[",D10)-1),D10)),"")</f>
        <v/>
      </c>
      <c r="P10" s="90" t="n"/>
      <c r="Q10" s="119" t="inlineStr">
        <is>
          <t>Output clock of the oscillator is stability</t>
        </is>
      </c>
      <c r="R10" s="111" t="n"/>
      <c r="S10" s="111" t="n"/>
      <c r="T10" s="111" t="n"/>
    </row>
    <row r="11" hidden="1" customFormat="1" s="72">
      <c r="A11" s="72" t="inlineStr">
        <is>
          <t>osc32k_new_model.osc32k_inst</t>
        </is>
      </c>
      <c r="B11" s="133" t="n"/>
      <c r="C11" s="83" t="inlineStr">
        <is>
          <t>core_pd.core_pd_inst</t>
        </is>
      </c>
      <c r="D11" s="94" t="inlineStr">
        <is>
          <t>CLKREADDY</t>
        </is>
      </c>
      <c r="E11" s="83">
        <f>IF(AND(ISNUMBER(FIND("[",D11)),ISNUMBER(FIND("]",D11)),ISNUMBER(FIND(":",D11))),MID(D11,FIND("[",D11)+1,FIND(":",D11)-FIND("[",D11)-1)+1-MID(D11,FIND(":",D11)+1,FIND("]",D11)-FIND(":",D11)-1),IF(OR(ISNUMBER(FIND("[",D11)),ISNUMBER(FIND("]",D11)),ISNUMBER(FIND(":",D11))),"ERROR",1))</f>
        <v/>
      </c>
      <c r="F11" s="119" t="inlineStr">
        <is>
          <t>O</t>
        </is>
      </c>
      <c r="G11" s="111" t="n"/>
      <c r="H11" s="111" t="n"/>
      <c r="I11" s="83" t="inlineStr">
        <is>
          <t>YES</t>
        </is>
      </c>
      <c r="J11" s="88" t="n"/>
      <c r="K11" s="88" t="n"/>
      <c r="L11" s="88" t="n"/>
      <c r="M11" s="89">
        <f>H11</f>
        <v/>
      </c>
      <c r="N11" s="88" t="n"/>
      <c r="O11" s="88">
        <f>IF(AND(OR(EXACT(F11,"I"),EXACT(F11,"O")),NOT(EXACT(P11,"NA"))),CONCATENATE("c_reg_test_sel_",RIGHT(IF(B11=0,LOOKUP(2,1/($B$2:B11&lt;&gt;0),$B$2:B11),B11),LEN(IF(B11=0,LOOKUP(2,1/($B$2:B11&lt;&gt;0),$B$2:B11),B11))-FIND(".",IF(B11=0,LOOKUP(2,1/($B$2:B11&lt;&gt;0),$B$2:B11),B11))),IF(0,CONCATENATE("&amp; !c_test_reg_pin_disable_",RIGHT(IF(B11=0,LOOKUP(2,1/($B$2:B11&lt;&gt;0),$B$2:B11),B11),LEN(IF(B11=0,LOOKUP(2,1/($B$2:B11&lt;&gt;0),$B$2:B11),B11))-FIND(".",IF(B11=0,LOOKUP(2,1/($B$2:B11&lt;&gt;0),$B$2:B11),B11)))),""),IF(P11,CONCATENATE("_grp_",P11),""),"/","c_pad_",RIGHT(IF(B11=0,LOOKUP(2,1/($B$2:B11&lt;&gt;0),$B$2:B11),B11),LEN(IF(B11=0,LOOKUP(2,1/($B$2:B11&lt;&gt;0),$B$2:B11),B11))-FIND(".",IF(B11=0,LOOKUP(2,1/($B$2:B11&lt;&gt;0),$B$2:B11),B11))),"_",IF(ISNUMBER(SEARCH("[",D11)),LEFT(D11,FIND("[",D11)-1),D11)),"")</f>
        <v/>
      </c>
      <c r="P11" s="90" t="n"/>
      <c r="Q11" s="95" t="inlineStr">
        <is>
          <t>Output clock of the oscillator</t>
        </is>
      </c>
      <c r="R11" s="96" t="inlineStr">
        <is>
          <t>0x0017</t>
        </is>
      </c>
      <c r="S11" s="111" t="n"/>
      <c r="T11" s="111" t="n"/>
    </row>
    <row r="12" hidden="1" customFormat="1" s="72">
      <c r="A12" s="72" t="inlineStr">
        <is>
          <t>cvr_model.cvr_inst</t>
        </is>
      </c>
      <c r="B12" s="84" t="inlineStr">
        <is>
          <t>cvr_model.cvr_inst</t>
        </is>
      </c>
      <c r="C12" s="94" t="inlineStr">
        <is>
          <t>TOP:undefined</t>
        </is>
      </c>
      <c r="D12" s="94" t="inlineStr">
        <is>
          <t>VREF</t>
        </is>
      </c>
      <c r="E12" s="83">
        <f>IF(AND(ISNUMBER(FIND("[",D12)),ISNUMBER(FIND("]",D12)),ISNUMBER(FIND(":",D12))),MID(D12,FIND("[",D12)+1,FIND(":",D12)-FIND("[",D12)-1)+1-MID(D12,FIND(":",D12)+1,FIND("]",D12)-FIND(":",D12)-1),IF(OR(ISNUMBER(FIND("[",D12)),ISNUMBER(FIND("]",D12)),ISNUMBER(FIND(":",D12))),"ERROR",1))</f>
        <v/>
      </c>
      <c r="F12" s="119" t="inlineStr">
        <is>
          <t>AO</t>
        </is>
      </c>
      <c r="G12" s="83" t="n"/>
      <c r="H12" s="83" t="n"/>
      <c r="I12" s="102" t="n"/>
      <c r="Q12" s="102" t="inlineStr">
        <is>
          <t>Input Vref</t>
        </is>
      </c>
      <c r="R12" s="94" t="n"/>
      <c r="S12" s="94" t="n"/>
      <c r="T12" s="83" t="n"/>
    </row>
    <row r="13" hidden="1" customFormat="1" s="72">
      <c r="A13" s="72" t="inlineStr">
        <is>
          <t>cvr_model.cvr_inst</t>
        </is>
      </c>
      <c r="B13" s="133" t="n"/>
      <c r="C13" s="94" t="inlineStr">
        <is>
          <t>TOP:VCC5V</t>
        </is>
      </c>
      <c r="D13" s="94" t="inlineStr">
        <is>
          <t>VDDA</t>
        </is>
      </c>
      <c r="E13" s="83">
        <f>IF(AND(ISNUMBER(FIND("[",D13)),ISNUMBER(FIND("]",D13)),ISNUMBER(FIND(":",D13))),MID(D13,FIND("[",D13)+1,FIND(":",D13)-FIND("[",D13)-1)+1-MID(D13,FIND(":",D13)+1,FIND("]",D13)-FIND(":",D13)-1),IF(OR(ISNUMBER(FIND("[",D13)),ISNUMBER(FIND("]",D13)),ISNUMBER(FIND(":",D13))),"ERROR",1))</f>
        <v/>
      </c>
      <c r="F13" s="119" t="inlineStr">
        <is>
          <t>P</t>
        </is>
      </c>
      <c r="G13" s="83" t="n"/>
      <c r="H13" s="83" t="n"/>
      <c r="I13" s="83" t="n"/>
      <c r="Q13" s="83" t="n"/>
      <c r="R13" s="94" t="n"/>
      <c r="S13" s="94" t="n"/>
      <c r="T13" s="83" t="n"/>
    </row>
    <row r="14" hidden="1" customFormat="1" s="72">
      <c r="A14" s="72" t="inlineStr">
        <is>
          <t>cvr_model.cvr_inst</t>
        </is>
      </c>
      <c r="B14" s="133" t="n"/>
      <c r="C14" s="94" t="inlineStr">
        <is>
          <t>TOP:VSSA</t>
        </is>
      </c>
      <c r="D14" s="94" t="inlineStr">
        <is>
          <t>VSSA</t>
        </is>
      </c>
      <c r="E14" s="83">
        <f>IF(AND(ISNUMBER(FIND("[",D14)),ISNUMBER(FIND("]",D14)),ISNUMBER(FIND(":",D14))),MID(D14,FIND("[",D14)+1,FIND(":",D14)-FIND("[",D14)-1)+1-MID(D14,FIND(":",D14)+1,FIND("]",D14)-FIND(":",D14)-1),IF(OR(ISNUMBER(FIND("[",D14)),ISNUMBER(FIND("]",D14)),ISNUMBER(FIND(":",D14))),"ERROR",1))</f>
        <v/>
      </c>
      <c r="F14" s="119" t="inlineStr">
        <is>
          <t>G</t>
        </is>
      </c>
      <c r="G14" s="83" t="n"/>
      <c r="H14" s="83" t="n"/>
      <c r="I14" s="83" t="n"/>
      <c r="Q14" s="83" t="n"/>
      <c r="R14" s="94" t="n"/>
      <c r="S14" s="94" t="n"/>
      <c r="T14" s="83" t="n"/>
    </row>
    <row r="15" customFormat="1" s="72">
      <c r="A15" s="72" t="inlineStr">
        <is>
          <t>cvr_model.cvr_inst</t>
        </is>
      </c>
      <c r="B15" s="133" t="n"/>
      <c r="C15" s="94" t="inlineStr">
        <is>
          <t>core_pd.core_pd_inst</t>
        </is>
      </c>
      <c r="D15" s="94" t="inlineStr">
        <is>
          <t>CVREN</t>
        </is>
      </c>
      <c r="E15" s="83">
        <f>IF(AND(ISNUMBER(FIND("[",D15)),ISNUMBER(FIND("]",D15)),ISNUMBER(FIND(":",D15))),MID(D15,FIND("[",D15)+1,FIND(":",D15)-FIND("[",D15)-1)+1-MID(D15,FIND(":",D15)+1,FIND("]",D15)-FIND(":",D15)-1),IF(OR(ISNUMBER(FIND("[",D15)),ISNUMBER(FIND("]",D15)),ISNUMBER(FIND(":",D15))),"ERROR",1))</f>
        <v/>
      </c>
      <c r="F15" s="119" t="inlineStr">
        <is>
          <t>I</t>
        </is>
      </c>
      <c r="G15" s="83" t="n"/>
      <c r="H15" s="83" t="inlineStr">
        <is>
          <t>b0</t>
        </is>
      </c>
      <c r="I15" s="83" t="inlineStr">
        <is>
          <t>YES</t>
        </is>
      </c>
      <c r="J15" s="88" t="n"/>
      <c r="K15" s="88" t="n"/>
      <c r="L15" s="88" t="n"/>
      <c r="M15" s="89">
        <f>H15</f>
        <v/>
      </c>
      <c r="N15" s="88" t="n"/>
      <c r="O15" s="88">
        <f>IF(AND(OR(EXACT(F15,"I"),EXACT(F15,"O")),NOT(EXACT(P15,"NA"))),CONCATENATE("c_reg_test_sel_",RIGHT(IF(B15=0,LOOKUP(2,1/($B$2:B15&lt;&gt;0),$B$2:B15),B15),LEN(IF(B15=0,LOOKUP(2,1/($B$2:B15&lt;&gt;0),$B$2:B15),B15))-FIND(".",IF(B15=0,LOOKUP(2,1/($B$2:B15&lt;&gt;0),$B$2:B15),B15))),IF(0,CONCATENATE("&amp; !c_test_reg_pin_disable_",RIGHT(IF(B15=0,LOOKUP(2,1/($B$2:B15&lt;&gt;0),$B$2:B15),B15),LEN(IF(B15=0,LOOKUP(2,1/($B$2:B15&lt;&gt;0),$B$2:B15),B15))-FIND(".",IF(B15=0,LOOKUP(2,1/($B$2:B15&lt;&gt;0),$B$2:B15),B15)))),""),IF(P15,CONCATENATE("_grp_",P15),""),"/","c_pad_",RIGHT(IF(B15=0,LOOKUP(2,1/($B$2:B15&lt;&gt;0),$B$2:B15),B15),LEN(IF(B15=0,LOOKUP(2,1/($B$2:B15&lt;&gt;0),$B$2:B15),B15))-FIND(".",IF(B15=0,LOOKUP(2,1/($B$2:B15&lt;&gt;0),$B$2:B15),B15))),"_",IF(ISNUMBER(SEARCH("[",D15)),LEFT(D15,FIND("[",D15)-1),D15)),"")</f>
        <v/>
      </c>
      <c r="P15" s="90" t="n"/>
      <c r="Q15" s="83" t="inlineStr">
        <is>
          <t>CVR enable</t>
        </is>
      </c>
      <c r="R15" s="96" t="inlineStr">
        <is>
          <t>0x0106</t>
        </is>
      </c>
      <c r="S15" s="94" t="n"/>
      <c r="T15" s="83" t="n"/>
    </row>
    <row r="16" customFormat="1" s="72">
      <c r="A16" s="72" t="inlineStr">
        <is>
          <t>cvr_model.cvr_inst</t>
        </is>
      </c>
      <c r="B16" s="133" t="n"/>
      <c r="C16" s="94" t="inlineStr">
        <is>
          <t>core_pd.core_pd_inst</t>
        </is>
      </c>
      <c r="D16" s="94" t="inlineStr">
        <is>
          <t>CVRREG[3:0]</t>
        </is>
      </c>
      <c r="E16" s="83">
        <f>IF(AND(ISNUMBER(FIND("[",D16)),ISNUMBER(FIND("]",D16)),ISNUMBER(FIND(":",D16))),MID(D16,FIND("[",D16)+1,FIND(":",D16)-FIND("[",D16)-1)+1-MID(D16,FIND(":",D16)+1,FIND("]",D16)-FIND(":",D16)-1),IF(OR(ISNUMBER(FIND("[",D16)),ISNUMBER(FIND("]",D16)),ISNUMBER(FIND(":",D16))),"ERROR",1))</f>
        <v/>
      </c>
      <c r="F16" s="119" t="inlineStr">
        <is>
          <t>I</t>
        </is>
      </c>
      <c r="G16" s="83" t="n"/>
      <c r="H16" s="83" t="inlineStr">
        <is>
          <t>b0000</t>
        </is>
      </c>
      <c r="I16" s="83" t="inlineStr">
        <is>
          <t>YES</t>
        </is>
      </c>
      <c r="J16" s="88" t="n"/>
      <c r="K16" s="88" t="n"/>
      <c r="L16" s="88" t="n"/>
      <c r="M16" s="89">
        <f>H16</f>
        <v/>
      </c>
      <c r="N16" s="88" t="n"/>
      <c r="O16" s="88">
        <f>IF(AND(OR(EXACT(F16,"I"),EXACT(F16,"O")),NOT(EXACT(P16,"NA"))),CONCATENATE("c_reg_test_sel_",RIGHT(IF(B16=0,LOOKUP(2,1/($B$2:B16&lt;&gt;0),$B$2:B16),B16),LEN(IF(B16=0,LOOKUP(2,1/($B$2:B16&lt;&gt;0),$B$2:B16),B16))-FIND(".",IF(B16=0,LOOKUP(2,1/($B$2:B16&lt;&gt;0),$B$2:B16),B16))),IF(0,CONCATENATE("&amp; !c_test_reg_pin_disable_",RIGHT(IF(B16=0,LOOKUP(2,1/($B$2:B16&lt;&gt;0),$B$2:B16),B16),LEN(IF(B16=0,LOOKUP(2,1/($B$2:B16&lt;&gt;0),$B$2:B16),B16))-FIND(".",IF(B16=0,LOOKUP(2,1/($B$2:B16&lt;&gt;0),$B$2:B16),B16)))),""),IF(P16,CONCATENATE("_grp_",P16),""),"/","c_pad_",RIGHT(IF(B16=0,LOOKUP(2,1/($B$2:B16&lt;&gt;0),$B$2:B16),B16),LEN(IF(B16=0,LOOKUP(2,1/($B$2:B16&lt;&gt;0),$B$2:B16),B16))-FIND(".",IF(B16=0,LOOKUP(2,1/($B$2:B16&lt;&gt;0),$B$2:B16),B16))),"_",IF(ISNUMBER(SEARCH("[",D16)),LEFT(D16,FIND("[",D16)-1),D16)),"")</f>
        <v/>
      </c>
      <c r="P16" s="90" t="n"/>
      <c r="Q16" s="83" t="inlineStr">
        <is>
          <t>CVR  Resisitor control</t>
        </is>
      </c>
      <c r="R16" s="96" t="inlineStr">
        <is>
          <t>0x0104</t>
        </is>
      </c>
      <c r="S16" s="94" t="n"/>
      <c r="T16" s="83" t="n"/>
    </row>
    <row r="17" customFormat="1" s="72">
      <c r="A17" s="72" t="inlineStr">
        <is>
          <t>cvr_model.cvr_inst</t>
        </is>
      </c>
      <c r="B17" s="133" t="n"/>
      <c r="C17" s="94" t="inlineStr">
        <is>
          <t>core_pd.core_pd_inst</t>
        </is>
      </c>
      <c r="D17" s="94" t="inlineStr">
        <is>
          <t>CVRSEL[3:0]</t>
        </is>
      </c>
      <c r="E17" s="83">
        <f>IF(AND(ISNUMBER(FIND("[",D17)),ISNUMBER(FIND("]",D17)),ISNUMBER(FIND(":",D17))),MID(D17,FIND("[",D17)+1,FIND(":",D17)-FIND("[",D17)-1)+1-MID(D17,FIND(":",D17)+1,FIND("]",D17)-FIND(":",D17)-1),IF(OR(ISNUMBER(FIND("[",D17)),ISNUMBER(FIND("]",D17)),ISNUMBER(FIND(":",D17))),"ERROR",1))</f>
        <v/>
      </c>
      <c r="F17" s="119" t="inlineStr">
        <is>
          <t>I</t>
        </is>
      </c>
      <c r="G17" s="83" t="n"/>
      <c r="H17" s="83" t="inlineStr">
        <is>
          <t>b0000</t>
        </is>
      </c>
      <c r="I17" s="83" t="inlineStr">
        <is>
          <t>YES</t>
        </is>
      </c>
      <c r="J17" s="88" t="n"/>
      <c r="K17" s="88" t="n"/>
      <c r="L17" s="88" t="n"/>
      <c r="M17" s="89">
        <f>H17</f>
        <v/>
      </c>
      <c r="N17" s="88" t="n"/>
      <c r="O17" s="88">
        <f>IF(AND(OR(EXACT(F17,"I"),EXACT(F17,"O")),NOT(EXACT(P17,"NA"))),CONCATENATE("c_reg_test_sel_",RIGHT(IF(B17=0,LOOKUP(2,1/($B$2:B17&lt;&gt;0),$B$2:B17),B17),LEN(IF(B17=0,LOOKUP(2,1/($B$2:B17&lt;&gt;0),$B$2:B17),B17))-FIND(".",IF(B17=0,LOOKUP(2,1/($B$2:B17&lt;&gt;0),$B$2:B17),B17))),IF(0,CONCATENATE("&amp; !c_test_reg_pin_disable_",RIGHT(IF(B17=0,LOOKUP(2,1/($B$2:B17&lt;&gt;0),$B$2:B17),B17),LEN(IF(B17=0,LOOKUP(2,1/($B$2:B17&lt;&gt;0),$B$2:B17),B17))-FIND(".",IF(B17=0,LOOKUP(2,1/($B$2:B17&lt;&gt;0),$B$2:B17),B17)))),""),IF(P17,CONCATENATE("_grp_",P17),""),"/","c_pad_",RIGHT(IF(B17=0,LOOKUP(2,1/($B$2:B17&lt;&gt;0),$B$2:B17),B17),LEN(IF(B17=0,LOOKUP(2,1/($B$2:B17&lt;&gt;0),$B$2:B17),B17))-FIND(".",IF(B17=0,LOOKUP(2,1/($B$2:B17&lt;&gt;0),$B$2:B17),B17))),"_",IF(ISNUMBER(SEARCH("[",D17)),LEFT(D17,FIND("[",D17)-1),D17)),"")</f>
        <v/>
      </c>
      <c r="P17" s="90" t="n"/>
      <c r="Q17" s="83" t="inlineStr">
        <is>
          <t>CVR output voltage control</t>
        </is>
      </c>
      <c r="R17" s="96" t="inlineStr">
        <is>
          <t>0x0105</t>
        </is>
      </c>
      <c r="S17" s="94" t="n"/>
      <c r="T17" s="83" t="n"/>
    </row>
    <row r="18" hidden="1" customFormat="1" s="72">
      <c r="A18" s="72" t="inlineStr">
        <is>
          <t>cvr_model.cvr_inst</t>
        </is>
      </c>
      <c r="B18" s="133" t="n"/>
      <c r="C18" s="94" t="inlineStr">
        <is>
          <t>TOP:undefined</t>
        </is>
      </c>
      <c r="D18" s="94" t="inlineStr">
        <is>
          <t>CVREF</t>
        </is>
      </c>
      <c r="E18" s="83">
        <f>IF(AND(ISNUMBER(FIND("[",D18)),ISNUMBER(FIND("]",D18)),ISNUMBER(FIND(":",D18))),MID(D18,FIND("[",D18)+1,FIND(":",D18)-FIND("[",D18)-1)+1-MID(D18,FIND(":",D18)+1,FIND("]",D18)-FIND(":",D18)-1),IF(OR(ISNUMBER(FIND("[",D18)),ISNUMBER(FIND("]",D18)),ISNUMBER(FIND(":",D18))),"ERROR",1))</f>
        <v/>
      </c>
      <c r="F18" s="119" t="inlineStr">
        <is>
          <t>AO</t>
        </is>
      </c>
      <c r="G18" s="83" t="n"/>
      <c r="H18" s="83" t="n"/>
      <c r="I18" s="102" t="n"/>
      <c r="Q18" s="102" t="inlineStr">
        <is>
          <t>CVR output voltage</t>
        </is>
      </c>
      <c r="R18" s="94" t="n"/>
      <c r="S18" s="94" t="n"/>
      <c r="T18" s="83" t="n"/>
    </row>
    <row r="19" hidden="1" customFormat="1" s="72">
      <c r="A19" s="72" t="inlineStr">
        <is>
          <t>ulppmu_model.ulppmu_inst</t>
        </is>
      </c>
      <c r="B19" s="84" t="inlineStr">
        <is>
          <t>ulppmu_model.ulppmu_inst</t>
        </is>
      </c>
      <c r="C19" s="94" t="inlineStr">
        <is>
          <t>TOP:VCC5V</t>
        </is>
      </c>
      <c r="D19" s="94" t="inlineStr">
        <is>
          <t>VDDHA</t>
        </is>
      </c>
      <c r="E19" s="83">
        <f>IF(AND(ISNUMBER(FIND("[",D19)),ISNUMBER(FIND("]",D19)),ISNUMBER(FIND(":",D19))),MID(D19,FIND("[",D19)+1,FIND(":",D19)-FIND("[",D19)-1)+1-MID(D19,FIND(":",D19)+1,FIND("]",D19)-FIND(":",D19)-1),IF(OR(ISNUMBER(FIND("[",D19)),ISNUMBER(FIND("]",D19)),ISNUMBER(FIND(":",D19))),"ERROR",1))</f>
        <v/>
      </c>
      <c r="F19" s="119" t="inlineStr">
        <is>
          <t>P</t>
        </is>
      </c>
      <c r="G19" s="83" t="n"/>
      <c r="H19" s="83" t="n"/>
      <c r="I19" s="83" t="n"/>
      <c r="Q19" s="83" t="n"/>
      <c r="R19" s="83" t="n"/>
      <c r="S19" s="83" t="n"/>
      <c r="T19" s="83" t="n"/>
    </row>
    <row r="20" hidden="1" customFormat="1" s="72">
      <c r="A20" s="72" t="inlineStr">
        <is>
          <t>ulppmu_model.ulppmu_inst</t>
        </is>
      </c>
      <c r="B20" s="133" t="n"/>
      <c r="C20" s="94" t="inlineStr">
        <is>
          <t>TOP:VSSA</t>
        </is>
      </c>
      <c r="D20" s="94" t="inlineStr">
        <is>
          <t>GNDA</t>
        </is>
      </c>
      <c r="E20" s="83">
        <f>IF(AND(ISNUMBER(FIND("[",D20)),ISNUMBER(FIND("]",D20)),ISNUMBER(FIND(":",D20))),MID(D20,FIND("[",D20)+1,FIND(":",D20)-FIND("[",D20)-1)+1-MID(D20,FIND(":",D20)+1,FIND("]",D20)-FIND(":",D20)-1),IF(OR(ISNUMBER(FIND("[",D20)),ISNUMBER(FIND("]",D20)),ISNUMBER(FIND(":",D20))),"ERROR",1))</f>
        <v/>
      </c>
      <c r="F20" s="119" t="inlineStr">
        <is>
          <t>G</t>
        </is>
      </c>
      <c r="G20" s="83" t="n"/>
      <c r="H20" s="83" t="n"/>
      <c r="I20" s="83" t="n"/>
      <c r="Q20" s="119" t="n"/>
      <c r="R20" s="83" t="n"/>
      <c r="S20" s="83" t="n"/>
      <c r="T20" s="83" t="n"/>
    </row>
    <row r="21" hidden="1" customFormat="1" s="72">
      <c r="A21" s="72" t="inlineStr">
        <is>
          <t>ulppmu_model.ulppmu_inst</t>
        </is>
      </c>
      <c r="B21" s="133" t="n"/>
      <c r="C21" s="94" t="inlineStr">
        <is>
          <t>TOP:VSSD</t>
        </is>
      </c>
      <c r="D21" s="94" t="inlineStr">
        <is>
          <t>GND</t>
        </is>
      </c>
      <c r="E21" s="83">
        <f>IF(AND(ISNUMBER(FIND("[",D21)),ISNUMBER(FIND("]",D21)),ISNUMBER(FIND(":",D21))),MID(D21,FIND("[",D21)+1,FIND(":",D21)-FIND("[",D21)-1)+1-MID(D21,FIND(":",D21)+1,FIND("]",D21)-FIND(":",D21)-1),IF(OR(ISNUMBER(FIND("[",D21)),ISNUMBER(FIND("]",D21)),ISNUMBER(FIND(":",D21))),"ERROR",1))</f>
        <v/>
      </c>
      <c r="F21" s="119" t="inlineStr">
        <is>
          <t>G</t>
        </is>
      </c>
      <c r="G21" s="83" t="n"/>
      <c r="H21" s="83" t="n"/>
      <c r="I21" s="83" t="n"/>
      <c r="Q21" s="119" t="n"/>
      <c r="R21" s="83" t="n"/>
      <c r="S21" s="83" t="n"/>
      <c r="T21" s="83" t="n"/>
    </row>
    <row r="22" customFormat="1" s="72">
      <c r="A22" s="72" t="inlineStr">
        <is>
          <t>ulppmu_model.ulppmu_inst</t>
        </is>
      </c>
      <c r="B22" s="133" t="n"/>
      <c r="C22" s="94" t="inlineStr">
        <is>
          <t>core_pd.core_pd_inst</t>
        </is>
      </c>
      <c r="D22" s="94" t="inlineStr">
        <is>
          <t>L_INIB</t>
        </is>
      </c>
      <c r="E22" s="83">
        <f>IF(AND(ISNUMBER(FIND("[",D22)),ISNUMBER(FIND("]",D22)),ISNUMBER(FIND(":",D22))),MID(D22,FIND("[",D22)+1,FIND(":",D22)-FIND("[",D22)-1)+1-MID(D22,FIND(":",D22)+1,FIND("]",D22)-FIND(":",D22)-1),IF(OR(ISNUMBER(FIND("[",D22)),ISNUMBER(FIND("]",D22)),ISNUMBER(FIND(":",D22))),"ERROR",1))</f>
        <v/>
      </c>
      <c r="F22" s="119" t="inlineStr">
        <is>
          <t>I</t>
        </is>
      </c>
      <c r="G22" s="83" t="n"/>
      <c r="H22" s="93" t="inlineStr">
        <is>
          <t>b0</t>
        </is>
      </c>
      <c r="I22" s="83" t="inlineStr">
        <is>
          <t>YES</t>
        </is>
      </c>
      <c r="J22" s="88" t="n"/>
      <c r="K22" s="88" t="n"/>
      <c r="L22" s="88" t="n"/>
      <c r="M22" s="89">
        <f>H22</f>
        <v/>
      </c>
      <c r="N22" s="88" t="n"/>
      <c r="O22" s="88">
        <f>IF(AND(OR(EXACT(F22,"I"),EXACT(F22,"O")),NOT(EXACT(P22,"NA"))),CONCATENATE("c_reg_test_sel_",RIGHT(IF(B22=0,LOOKUP(2,1/($B$2:B22&lt;&gt;0),$B$2:B22),B22),LEN(IF(B22=0,LOOKUP(2,1/($B$2:B22&lt;&gt;0),$B$2:B22),B22))-FIND(".",IF(B22=0,LOOKUP(2,1/($B$2:B22&lt;&gt;0),$B$2:B22),B22))),IF(0,CONCATENATE("&amp; !c_test_reg_pin_disable_",RIGHT(IF(B22=0,LOOKUP(2,1/($B$2:B22&lt;&gt;0),$B$2:B22),B22),LEN(IF(B22=0,LOOKUP(2,1/($B$2:B22&lt;&gt;0),$B$2:B22),B22))-FIND(".",IF(B22=0,LOOKUP(2,1/($B$2:B22&lt;&gt;0),$B$2:B22),B22)))),""),IF(P22,CONCATENATE("_grp_",P22),""),"/","c_pad_",RIGHT(IF(B22=0,LOOKUP(2,1/($B$2:B22&lt;&gt;0),$B$2:B22),B22),LEN(IF(B22=0,LOOKUP(2,1/($B$2:B22&lt;&gt;0),$B$2:B22),B22))-FIND(".",IF(B22=0,LOOKUP(2,1/($B$2:B22&lt;&gt;0),$B$2:B22),B22))),"_",IF(ISNUMBER(SEARCH("[",D22)),LEFT(D22,FIND("[",D22)-1),D22)),"")</f>
        <v/>
      </c>
      <c r="P22" s="90" t="n"/>
      <c r="Q22" s="119" t="inlineStr">
        <is>
          <t>low power mode enable</t>
        </is>
      </c>
      <c r="R22" s="96" t="inlineStr">
        <is>
          <t>0x0108</t>
        </is>
      </c>
      <c r="S22" s="83" t="n"/>
      <c r="T22" s="83" t="n"/>
    </row>
    <row r="23" customFormat="1" s="72">
      <c r="A23" s="72" t="inlineStr">
        <is>
          <t>ulppmu_model.ulppmu_inst</t>
        </is>
      </c>
      <c r="B23" s="133" t="n"/>
      <c r="C23" s="94" t="inlineStr">
        <is>
          <t>core_pd.core_pd_inst</t>
        </is>
      </c>
      <c r="D23" s="94" t="inlineStr">
        <is>
          <t>L_LPM</t>
        </is>
      </c>
      <c r="E23" s="83">
        <f>IF(AND(ISNUMBER(FIND("[",D23)),ISNUMBER(FIND("]",D23)),ISNUMBER(FIND(":",D23))),MID(D23,FIND("[",D23)+1,FIND(":",D23)-FIND("[",D23)-1)+1-MID(D23,FIND(":",D23)+1,FIND("]",D23)-FIND(":",D23)-1),IF(OR(ISNUMBER(FIND("[",D23)),ISNUMBER(FIND("]",D23)),ISNUMBER(FIND(":",D23))),"ERROR",1))</f>
        <v/>
      </c>
      <c r="F23" s="119" t="inlineStr">
        <is>
          <t>I</t>
        </is>
      </c>
      <c r="G23" s="83" t="n"/>
      <c r="H23" s="93" t="inlineStr">
        <is>
          <t>b0</t>
        </is>
      </c>
      <c r="I23" s="83" t="inlineStr">
        <is>
          <t>YES</t>
        </is>
      </c>
      <c r="J23" s="88" t="n"/>
      <c r="K23" s="88" t="n"/>
      <c r="L23" s="88" t="n"/>
      <c r="M23" s="89">
        <f>H23</f>
        <v/>
      </c>
      <c r="N23" s="88" t="n"/>
      <c r="O23" s="88">
        <f>IF(AND(OR(EXACT(F23,"I"),EXACT(F23,"O")),NOT(EXACT(P23,"NA"))),CONCATENATE("c_reg_test_sel_",RIGHT(IF(B23=0,LOOKUP(2,1/($B$2:B23&lt;&gt;0),$B$2:B23),B23),LEN(IF(B23=0,LOOKUP(2,1/($B$2:B23&lt;&gt;0),$B$2:B23),B23))-FIND(".",IF(B23=0,LOOKUP(2,1/($B$2:B23&lt;&gt;0),$B$2:B23),B23))),IF(0,CONCATENATE("&amp; !c_test_reg_pin_disable_",RIGHT(IF(B23=0,LOOKUP(2,1/($B$2:B23&lt;&gt;0),$B$2:B23),B23),LEN(IF(B23=0,LOOKUP(2,1/($B$2:B23&lt;&gt;0),$B$2:B23),B23))-FIND(".",IF(B23=0,LOOKUP(2,1/($B$2:B23&lt;&gt;0),$B$2:B23),B23)))),""),IF(P23,CONCATENATE("_grp_",P23),""),"/","c_pad_",RIGHT(IF(B23=0,LOOKUP(2,1/($B$2:B23&lt;&gt;0),$B$2:B23),B23),LEN(IF(B23=0,LOOKUP(2,1/($B$2:B23&lt;&gt;0),$B$2:B23),B23))-FIND(".",IF(B23=0,LOOKUP(2,1/($B$2:B23&lt;&gt;0),$B$2:B23),B23))),"_",IF(ISNUMBER(SEARCH("[",D23)),LEFT(D23,FIND("[",D23)-1),D23)),"")</f>
        <v/>
      </c>
      <c r="P23" s="90" t="n"/>
      <c r="Q23" s="119" t="inlineStr">
        <is>
          <t>low power mode enable</t>
        </is>
      </c>
      <c r="R23" s="96" t="inlineStr">
        <is>
          <t>0x0108</t>
        </is>
      </c>
      <c r="S23" s="83" t="n"/>
      <c r="T23" s="83" t="n"/>
    </row>
    <row r="24" customFormat="1" s="72">
      <c r="A24" s="72" t="inlineStr">
        <is>
          <t>ulppmu_model.ulppmu_inst</t>
        </is>
      </c>
      <c r="B24" s="133" t="n"/>
      <c r="C24" s="94" t="inlineStr">
        <is>
          <t>core_pd.core_pd_inst</t>
        </is>
      </c>
      <c r="D24" s="94" t="inlineStr">
        <is>
          <t>L_VR[2:0]</t>
        </is>
      </c>
      <c r="E24" s="83">
        <f>IF(AND(ISNUMBER(FIND("[",D24)),ISNUMBER(FIND("]",D24)),ISNUMBER(FIND(":",D24))),MID(D24,FIND("[",D24)+1,FIND(":",D24)-FIND("[",D24)-1)+1-MID(D24,FIND(":",D24)+1,FIND("]",D24)-FIND(":",D24)-1),IF(OR(ISNUMBER(FIND("[",D24)),ISNUMBER(FIND("]",D24)),ISNUMBER(FIND(":",D24))),"ERROR",1))</f>
        <v/>
      </c>
      <c r="F24" s="119" t="inlineStr">
        <is>
          <t>I</t>
        </is>
      </c>
      <c r="G24" s="83" t="n"/>
      <c r="H24" s="130" t="inlineStr">
        <is>
          <t>b100</t>
        </is>
      </c>
      <c r="I24" s="83" t="inlineStr">
        <is>
          <t>YES</t>
        </is>
      </c>
      <c r="J24" s="88" t="n"/>
      <c r="K24" s="88" t="n"/>
      <c r="L24" s="88" t="n"/>
      <c r="M24" s="131">
        <f>H24</f>
        <v/>
      </c>
      <c r="N24" s="88" t="n"/>
      <c r="O24" s="88">
        <f>IF(AND(OR(EXACT(F24,"I"),EXACT(F24,"O")),NOT(EXACT(P24,"NA"))),CONCATENATE("c_reg_test_sel_",RIGHT(IF(B24=0,LOOKUP(2,1/($B$2:B24&lt;&gt;0),$B$2:B24),B24),LEN(IF(B24=0,LOOKUP(2,1/($B$2:B24&lt;&gt;0),$B$2:B24),B24))-FIND(".",IF(B24=0,LOOKUP(2,1/($B$2:B24&lt;&gt;0),$B$2:B24),B24))),IF(0,CONCATENATE("&amp; !c_test_reg_pin_disable_",RIGHT(IF(B24=0,LOOKUP(2,1/($B$2:B24&lt;&gt;0),$B$2:B24),B24),LEN(IF(B24=0,LOOKUP(2,1/($B$2:B24&lt;&gt;0),$B$2:B24),B24))-FIND(".",IF(B24=0,LOOKUP(2,1/($B$2:B24&lt;&gt;0),$B$2:B24),B24)))),""),IF(P24,CONCATENATE("_grp_",P24),""),"/","c_pad_",RIGHT(IF(B24=0,LOOKUP(2,1/($B$2:B24&lt;&gt;0),$B$2:B24),B24),LEN(IF(B24=0,LOOKUP(2,1/($B$2:B24&lt;&gt;0),$B$2:B24),B24))-FIND(".",IF(B24=0,LOOKUP(2,1/($B$2:B24&lt;&gt;0),$B$2:B24),B24))),"_",IF(ISNUMBER(SEARCH("[",D24)),LEFT(D24,FIND("[",D24)-1),D24)),"")</f>
        <v/>
      </c>
      <c r="P24" s="90" t="n"/>
      <c r="Q24" s="119" t="inlineStr">
        <is>
          <t>新加</t>
        </is>
      </c>
      <c r="R24" s="96" t="inlineStr">
        <is>
          <t>0x0109</t>
        </is>
      </c>
      <c r="S24" s="83" t="n"/>
      <c r="T24" s="83" t="n"/>
    </row>
    <row r="25" customFormat="1" s="72">
      <c r="A25" s="72" t="inlineStr">
        <is>
          <t>ulppmu_model.ulppmu_inst</t>
        </is>
      </c>
      <c r="B25" s="133" t="n"/>
      <c r="C25" s="94" t="inlineStr">
        <is>
          <t>core_pd.core_pd_inst</t>
        </is>
      </c>
      <c r="D25" s="94" t="inlineStr">
        <is>
          <t>L_VT[5:0]</t>
        </is>
      </c>
      <c r="E25" s="83">
        <f>IF(AND(ISNUMBER(FIND("[",D25)),ISNUMBER(FIND("]",D25)),ISNUMBER(FIND(":",D25))),MID(D25,FIND("[",D25)+1,FIND(":",D25)-FIND("[",D25)-1)+1-MID(D25,FIND(":",D25)+1,FIND("]",D25)-FIND(":",D25)-1),IF(OR(ISNUMBER(FIND("[",D25)),ISNUMBER(FIND("]",D25)),ISNUMBER(FIND(":",D25))),"ERROR",1))</f>
        <v/>
      </c>
      <c r="F25" s="119" t="inlineStr">
        <is>
          <t>I</t>
        </is>
      </c>
      <c r="G25" s="83" t="n"/>
      <c r="H25" s="130" t="inlineStr">
        <is>
          <t>b100000</t>
        </is>
      </c>
      <c r="I25" s="83" t="inlineStr">
        <is>
          <t>YES</t>
        </is>
      </c>
      <c r="J25" s="88" t="n"/>
      <c r="K25" s="88" t="n"/>
      <c r="L25" s="88" t="n"/>
      <c r="M25" s="131">
        <f>H25</f>
        <v/>
      </c>
      <c r="N25" s="88" t="n"/>
      <c r="O25" s="88">
        <f>IF(AND(OR(EXACT(F25,"I"),EXACT(F25,"O")),NOT(EXACT(P25,"NA"))),CONCATENATE("c_reg_test_sel_",RIGHT(IF(B25=0,LOOKUP(2,1/($B$2:B25&lt;&gt;0),$B$2:B25),B25),LEN(IF(B25=0,LOOKUP(2,1/($B$2:B25&lt;&gt;0),$B$2:B25),B25))-FIND(".",IF(B25=0,LOOKUP(2,1/($B$2:B25&lt;&gt;0),$B$2:B25),B25))),IF(0,CONCATENATE("&amp; !c_test_reg_pin_disable_",RIGHT(IF(B25=0,LOOKUP(2,1/($B$2:B25&lt;&gt;0),$B$2:B25),B25),LEN(IF(B25=0,LOOKUP(2,1/($B$2:B25&lt;&gt;0),$B$2:B25),B25))-FIND(".",IF(B25=0,LOOKUP(2,1/($B$2:B25&lt;&gt;0),$B$2:B25),B25)))),""),IF(P25,CONCATENATE("_grp_",P25),""),"/","c_pad_",RIGHT(IF(B25=0,LOOKUP(2,1/($B$2:B25&lt;&gt;0),$B$2:B25),B25),LEN(IF(B25=0,LOOKUP(2,1/($B$2:B25&lt;&gt;0),$B$2:B25),B25))-FIND(".",IF(B25=0,LOOKUP(2,1/($B$2:B25&lt;&gt;0),$B$2:B25),B25))),"_",IF(ISNUMBER(SEARCH("[",D25)),LEFT(D25,FIND("[",D25)-1),D25)),"")</f>
        <v/>
      </c>
      <c r="P25" s="90" t="n"/>
      <c r="Q25" s="119" t="inlineStr">
        <is>
          <t>新加</t>
        </is>
      </c>
      <c r="R25" s="96" t="inlineStr">
        <is>
          <t>0x010A</t>
        </is>
      </c>
      <c r="S25" s="83" t="n"/>
      <c r="T25" s="83" t="n"/>
    </row>
    <row r="26" hidden="1" ht="47.25" customFormat="1" customHeight="1" s="72">
      <c r="A26" s="72" t="inlineStr">
        <is>
          <t>ulppmu_model.ulppmu_inst</t>
        </is>
      </c>
      <c r="B26" s="133" t="n"/>
      <c r="C26" s="94" t="inlineStr">
        <is>
          <t>TOP:undefined</t>
        </is>
      </c>
      <c r="D26" s="94" t="inlineStr">
        <is>
          <t>VREF</t>
        </is>
      </c>
      <c r="E26" s="83">
        <f>IF(AND(ISNUMBER(FIND("[",D26)),ISNUMBER(FIND("]",D26)),ISNUMBER(FIND(":",D26))),MID(D26,FIND("[",D26)+1,FIND(":",D26)-FIND("[",D26)-1)+1-MID(D26,FIND(":",D26)+1,FIND("]",D26)-FIND(":",D26)-1),IF(OR(ISNUMBER(FIND("[",D26)),ISNUMBER(FIND("]",D26)),ISNUMBER(FIND(":",D26))),"ERROR",1))</f>
        <v/>
      </c>
      <c r="F26" s="119" t="inlineStr">
        <is>
          <t>AO</t>
        </is>
      </c>
      <c r="G26" s="83" t="n"/>
      <c r="H26" s="83" t="n"/>
      <c r="I26" s="102" t="n"/>
      <c r="Q26" s="97" t="inlineStr">
        <is>
          <t xml:space="preserve">reference voltage for LP_LDO
Default =0.75V
</t>
        </is>
      </c>
      <c r="R26" s="83" t="n"/>
      <c r="S26" s="83" t="n"/>
      <c r="T26" s="83" t="n"/>
    </row>
    <row r="27" hidden="1" customFormat="1" s="72">
      <c r="A27" s="72" t="inlineStr">
        <is>
          <t>ulppmu_model.ulppmu_inst</t>
        </is>
      </c>
      <c r="B27" s="133" t="n"/>
      <c r="C27" s="94" t="inlineStr">
        <is>
          <t>TOP:undefined</t>
        </is>
      </c>
      <c r="D27" s="94" t="inlineStr">
        <is>
          <t>I20N[4:0]</t>
        </is>
      </c>
      <c r="E27" s="83">
        <f>IF(AND(ISNUMBER(FIND("[",D27)),ISNUMBER(FIND("]",D27)),ISNUMBER(FIND(":",D27))),MID(D27,FIND("[",D27)+1,FIND(":",D27)-FIND("[",D27)-1)+1-MID(D27,FIND(":",D27)+1,FIND("]",D27)-FIND(":",D27)-1),IF(OR(ISNUMBER(FIND("[",D27)),ISNUMBER(FIND("]",D27)),ISNUMBER(FIND(":",D27))),"ERROR",1))</f>
        <v/>
      </c>
      <c r="F27" s="119" t="inlineStr">
        <is>
          <t>AO</t>
        </is>
      </c>
      <c r="G27" s="83" t="n"/>
      <c r="H27" s="83" t="n"/>
      <c r="I27" s="83" t="n"/>
      <c r="Q27" s="119" t="inlineStr">
        <is>
          <t>20nA bias output</t>
        </is>
      </c>
      <c r="R27" s="83" t="n"/>
      <c r="S27" s="83" t="n"/>
      <c r="T27" s="83" t="n"/>
    </row>
    <row r="28" hidden="1" customFormat="1" s="72">
      <c r="A28" s="72" t="inlineStr">
        <is>
          <t>ulppmu_model.ulppmu_inst</t>
        </is>
      </c>
      <c r="B28" s="133" t="n"/>
      <c r="C28" s="94" t="inlineStr">
        <is>
          <t>TOP:undefined</t>
        </is>
      </c>
      <c r="D28" s="94" t="inlineStr">
        <is>
          <t>V1P24</t>
        </is>
      </c>
      <c r="E28" s="83">
        <f>IF(AND(ISNUMBER(FIND("[",D28)),ISNUMBER(FIND("]",D28)),ISNUMBER(FIND(":",D28))),MID(D28,FIND("[",D28)+1,FIND(":",D28)-FIND("[",D28)-1)+1-MID(D28,FIND(":",D28)+1,FIND("]",D28)-FIND(":",D28)-1),IF(OR(ISNUMBER(FIND("[",D28)),ISNUMBER(FIND("]",D28)),ISNUMBER(FIND(":",D28))),"ERROR",1))</f>
        <v/>
      </c>
      <c r="F28" s="119" t="inlineStr">
        <is>
          <t>AO</t>
        </is>
      </c>
      <c r="G28" s="83" t="n"/>
      <c r="H28" s="83" t="n"/>
      <c r="I28" s="83" t="n"/>
      <c r="Q28" s="119" t="inlineStr">
        <is>
          <t>BGP output 1.24V</t>
        </is>
      </c>
      <c r="R28" s="83" t="n"/>
      <c r="S28" s="83" t="n"/>
      <c r="T28" s="83" t="n"/>
    </row>
    <row r="29" hidden="1" customFormat="1" s="72">
      <c r="A29" s="72" t="inlineStr">
        <is>
          <t>ulppmu_model.ulppmu_inst</t>
        </is>
      </c>
      <c r="B29" s="133" t="n"/>
      <c r="C29" s="94" t="inlineStr">
        <is>
          <t>TOP:undefined</t>
        </is>
      </c>
      <c r="D29" s="94" t="inlineStr">
        <is>
          <t>V15_AON</t>
        </is>
      </c>
      <c r="E29" s="83">
        <f>IF(AND(ISNUMBER(FIND("[",D29)),ISNUMBER(FIND("]",D29)),ISNUMBER(FIND(":",D29))),MID(D29,FIND("[",D29)+1,FIND(":",D29)-FIND("[",D29)-1)+1-MID(D29,FIND(":",D29)+1,FIND("]",D29)-FIND(":",D29)-1),IF(OR(ISNUMBER(FIND("[",D29)),ISNUMBER(FIND("]",D29)),ISNUMBER(FIND(":",D29))),"ERROR",1))</f>
        <v/>
      </c>
      <c r="F29" s="119" t="inlineStr">
        <is>
          <t>AO</t>
        </is>
      </c>
      <c r="G29" s="83" t="n"/>
      <c r="H29" s="83" t="n"/>
      <c r="I29" s="83" t="n"/>
      <c r="Q29" s="119" t="inlineStr">
        <is>
          <t>1.5V LDO power output</t>
        </is>
      </c>
      <c r="R29" s="83" t="n"/>
      <c r="S29" s="83" t="n"/>
      <c r="T29" s="83" t="n"/>
    </row>
    <row r="30" hidden="1" customFormat="1" s="72">
      <c r="A30" s="72" t="inlineStr">
        <is>
          <t>ulppmu_model.ulppmu_inst</t>
        </is>
      </c>
      <c r="B30" s="133" t="n"/>
      <c r="C30" s="94" t="inlineStr">
        <is>
          <t>TOP:undefined</t>
        </is>
      </c>
      <c r="D30" s="94" t="inlineStr">
        <is>
          <t>rstn_por_hv</t>
        </is>
      </c>
      <c r="E30" s="83">
        <f>IF(AND(ISNUMBER(FIND("[",D30)),ISNUMBER(FIND("]",D30)),ISNUMBER(FIND(":",D30))),MID(D30,FIND("[",D30)+1,FIND(":",D30)-FIND("[",D30)-1)+1-MID(D30,FIND(":",D30)+1,FIND("]",D30)-FIND(":",D30)-1),IF(OR(ISNUMBER(FIND("[",D30)),ISNUMBER(FIND("]",D30)),ISNUMBER(FIND(":",D30))),"ERROR",1))</f>
        <v/>
      </c>
      <c r="F30" s="119" t="inlineStr">
        <is>
          <t>AO</t>
        </is>
      </c>
      <c r="G30" s="83" t="n"/>
      <c r="H30" s="83" t="n"/>
      <c r="I30" s="83" t="n"/>
      <c r="Q30" s="119" t="inlineStr">
        <is>
          <t>por reset high voltage domain output POC</t>
        </is>
      </c>
      <c r="R30" s="83" t="n"/>
      <c r="S30" s="83" t="n"/>
      <c r="T30" s="83" t="n"/>
    </row>
    <row r="31" hidden="1" ht="47.25" customFormat="1" customHeight="1" s="72">
      <c r="A31" s="72" t="inlineStr">
        <is>
          <t>ulppmu_model.ulppmu_inst</t>
        </is>
      </c>
      <c r="B31" s="133" t="n"/>
      <c r="C31" s="94" t="inlineStr">
        <is>
          <t>core_pd.core_pd_inst</t>
        </is>
      </c>
      <c r="D31" s="94" t="inlineStr">
        <is>
          <t>rstn_por_lv</t>
        </is>
      </c>
      <c r="E31" s="83">
        <f>IF(AND(ISNUMBER(FIND("[",D31)),ISNUMBER(FIND("]",D31)),ISNUMBER(FIND(":",D31))),MID(D31,FIND("[",D31)+1,FIND(":",D31)-FIND("[",D31)-1)+1-MID(D31,FIND(":",D31)+1,FIND("]",D31)-FIND(":",D31)-1),IF(OR(ISNUMBER(FIND("[",D31)),ISNUMBER(FIND("]",D31)),ISNUMBER(FIND(":",D31))),"ERROR",1))</f>
        <v/>
      </c>
      <c r="F31" s="119" t="inlineStr">
        <is>
          <t>O</t>
        </is>
      </c>
      <c r="G31" s="83" t="n"/>
      <c r="H31" s="83" t="n"/>
      <c r="I31" s="83" t="inlineStr">
        <is>
          <t>YES</t>
        </is>
      </c>
      <c r="J31" s="88" t="n"/>
      <c r="K31" s="88" t="n"/>
      <c r="L31" s="88" t="n"/>
      <c r="M31" s="89">
        <f>H31</f>
        <v/>
      </c>
      <c r="N31" s="88" t="n"/>
      <c r="O31" s="88">
        <f>IF(AND(OR(EXACT(F31,"I"),EXACT(F31,"O")),NOT(EXACT(P31,"NA"))),CONCATENATE("c_reg_test_sel_",RIGHT(IF(B31=0,LOOKUP(2,1/($B$2:B31&lt;&gt;0),$B$2:B31),B31),LEN(IF(B31=0,LOOKUP(2,1/($B$2:B31&lt;&gt;0),$B$2:B31),B31))-FIND(".",IF(B31=0,LOOKUP(2,1/($B$2:B31&lt;&gt;0),$B$2:B31),B31))),IF(0,CONCATENATE("&amp; !c_test_reg_pin_disable_",RIGHT(IF(B31=0,LOOKUP(2,1/($B$2:B31&lt;&gt;0),$B$2:B31),B31),LEN(IF(B31=0,LOOKUP(2,1/($B$2:B31&lt;&gt;0),$B$2:B31),B31))-FIND(".",IF(B31=0,LOOKUP(2,1/($B$2:B31&lt;&gt;0),$B$2:B31),B31)))),""),IF(P31,CONCATENATE("_grp_",P31),""),"/","c_pad_",RIGHT(IF(B31=0,LOOKUP(2,1/($B$2:B31&lt;&gt;0),$B$2:B31),B31),LEN(IF(B31=0,LOOKUP(2,1/($B$2:B31&lt;&gt;0),$B$2:B31),B31))-FIND(".",IF(B31=0,LOOKUP(2,1/($B$2:B31&lt;&gt;0),$B$2:B31),B31))),"_",IF(ISNUMBER(SEARCH("[",D31)),LEFT(D31,FIND("[",D31)-1),D31)),"")</f>
        <v/>
      </c>
      <c r="P31" s="90" t="n"/>
      <c r="Q31" s="119" t="inlineStr">
        <is>
          <t>por reset output. 
rstn_por_lv=1-] reset diable(release)
rstn_por_lv=0-] reset work, system work in reset mode</t>
        </is>
      </c>
      <c r="R31" s="91" t="inlineStr">
        <is>
          <t>0x010B</t>
        </is>
      </c>
      <c r="S31" s="83" t="n"/>
      <c r="T31" s="83" t="n"/>
    </row>
    <row r="32" hidden="1" s="26">
      <c r="A32" s="72" t="inlineStr">
        <is>
          <t>adc_model.adc_inst</t>
        </is>
      </c>
      <c r="B32" s="93" t="inlineStr">
        <is>
          <t>adc_model.adc_inst</t>
        </is>
      </c>
      <c r="C32" s="83" t="inlineStr">
        <is>
          <t>TOP:VCC5V</t>
        </is>
      </c>
      <c r="D32" s="83" t="inlineStr">
        <is>
          <t>VDDA</t>
        </is>
      </c>
      <c r="E32" s="83">
        <f>IF(AND(ISNUMBER(FIND("[",D32)),ISNUMBER(FIND("]",D32)),ISNUMBER(FIND(":",D32))),MID(D32,FIND("[",D32)+1,FIND(":",D32)-FIND("[",D32)-1)+1-MID(D32,FIND(":",D32)+1,FIND("]",D32)-FIND(":",D32)-1),IF(OR(ISNUMBER(FIND("[",D32)),ISNUMBER(FIND("]",D32)),ISNUMBER(FIND(":",D32))),"ERROR",1))</f>
        <v/>
      </c>
      <c r="F32" s="98" t="inlineStr">
        <is>
          <t>P</t>
        </is>
      </c>
      <c r="G32" s="93" t="inlineStr">
        <is>
          <t>5V</t>
        </is>
      </c>
      <c r="H32" s="93" t="n"/>
      <c r="I32" s="99" t="n"/>
      <c r="M32" s="72" t="n"/>
      <c r="P32" s="72" t="n"/>
      <c r="Q32" s="100" t="inlineStr">
        <is>
          <t>2.6V-5.5V</t>
        </is>
      </c>
      <c r="R32" s="83" t="n"/>
      <c r="S32" s="83" t="n"/>
      <c r="T32" s="93" t="n"/>
    </row>
    <row r="33" hidden="1" s="26">
      <c r="A33" s="72" t="inlineStr">
        <is>
          <t>adc_model.adc_inst</t>
        </is>
      </c>
      <c r="B33" s="133" t="n"/>
      <c r="C33" s="83" t="inlineStr">
        <is>
          <t>TOP:VCC5V</t>
        </is>
      </c>
      <c r="D33" s="83" t="inlineStr">
        <is>
          <t>VDDA_TOP</t>
        </is>
      </c>
      <c r="E33" s="83">
        <f>IF(AND(ISNUMBER(FIND("[",D33)),ISNUMBER(FIND("]",D33)),ISNUMBER(FIND(":",D33))),MID(D33,FIND("[",D33)+1,FIND(":",D33)-FIND("[",D33)-1)+1-MID(D33,FIND(":",D33)+1,FIND("]",D33)-FIND(":",D33)-1),IF(OR(ISNUMBER(FIND("[",D33)),ISNUMBER(FIND("]",D33)),ISNUMBER(FIND(":",D33))),"ERROR",1))</f>
        <v/>
      </c>
      <c r="F33" s="98" t="inlineStr">
        <is>
          <t>P</t>
        </is>
      </c>
      <c r="G33" s="93" t="inlineStr">
        <is>
          <t>5V</t>
        </is>
      </c>
      <c r="H33" s="93" t="n"/>
      <c r="I33" s="93" t="n"/>
      <c r="M33" s="72" t="n"/>
      <c r="P33" s="72" t="n"/>
      <c r="Q33" s="93" t="inlineStr">
        <is>
          <t>VDDA ref</t>
        </is>
      </c>
      <c r="R33" s="83" t="n"/>
      <c r="S33" s="83" t="n"/>
      <c r="T33" s="93" t="n"/>
    </row>
    <row r="34" hidden="1" s="26">
      <c r="A34" s="72" t="inlineStr">
        <is>
          <t>adc_model.adc_inst</t>
        </is>
      </c>
      <c r="B34" s="133" t="n"/>
      <c r="C34" s="83" t="inlineStr">
        <is>
          <t>TOP:pmu_inst_V12M_adc</t>
        </is>
      </c>
      <c r="D34" s="83" t="inlineStr">
        <is>
          <t>VDDD</t>
        </is>
      </c>
      <c r="E34" s="83">
        <f>IF(AND(ISNUMBER(FIND("[",D34)),ISNUMBER(FIND("]",D34)),ISNUMBER(FIND(":",D34))),MID(D34,FIND("[",D34)+1,FIND(":",D34)-FIND("[",D34)-1)+1-MID(D34,FIND(":",D34)+1,FIND("]",D34)-FIND(":",D34)-1),IF(OR(ISNUMBER(FIND("[",D34)),ISNUMBER(FIND("]",D34)),ISNUMBER(FIND(":",D34))),"ERROR",1))</f>
        <v/>
      </c>
      <c r="F34" s="98" t="inlineStr">
        <is>
          <t>P</t>
        </is>
      </c>
      <c r="G34" s="93" t="inlineStr">
        <is>
          <t>1.5V</t>
        </is>
      </c>
      <c r="H34" s="93" t="n"/>
      <c r="I34" s="93" t="n"/>
      <c r="M34" s="72" t="n"/>
      <c r="P34" s="72" t="n"/>
      <c r="Q34" s="93" t="inlineStr">
        <is>
          <t>2.6V-5.5V</t>
        </is>
      </c>
      <c r="R34" s="83" t="n"/>
      <c r="S34" s="83" t="n"/>
      <c r="T34" s="93" t="n"/>
    </row>
    <row r="35" hidden="1" s="26">
      <c r="A35" s="72" t="inlineStr">
        <is>
          <t>adc_model.adc_inst</t>
        </is>
      </c>
      <c r="B35" s="133" t="n"/>
      <c r="C35" s="83" t="inlineStr">
        <is>
          <t>TOP:VSSD</t>
        </is>
      </c>
      <c r="D35" s="83" t="inlineStr">
        <is>
          <t>VSSD</t>
        </is>
      </c>
      <c r="E35" s="83">
        <f>IF(AND(ISNUMBER(FIND("[",D35)),ISNUMBER(FIND("]",D35)),ISNUMBER(FIND(":",D35))),MID(D35,FIND("[",D35)+1,FIND(":",D35)-FIND("[",D35)-1)+1-MID(D35,FIND(":",D35)+1,FIND("]",D35)-FIND(":",D35)-1),IF(OR(ISNUMBER(FIND("[",D35)),ISNUMBER(FIND("]",D35)),ISNUMBER(FIND(":",D35))),"ERROR",1))</f>
        <v/>
      </c>
      <c r="F35" s="98" t="inlineStr">
        <is>
          <t>G</t>
        </is>
      </c>
      <c r="G35" s="93" t="inlineStr">
        <is>
          <t>1.5V</t>
        </is>
      </c>
      <c r="H35" s="93" t="n"/>
      <c r="I35" s="93" t="n"/>
      <c r="M35" s="72" t="n"/>
      <c r="P35" s="72" t="n"/>
      <c r="Q35" s="93" t="n">
        <v>0</v>
      </c>
      <c r="R35" s="83" t="n"/>
      <c r="S35" s="83" t="n"/>
      <c r="T35" s="93" t="n"/>
    </row>
    <row r="36" hidden="1" s="26">
      <c r="A36" s="72" t="inlineStr">
        <is>
          <t>adc_model.adc_inst</t>
        </is>
      </c>
      <c r="B36" s="133" t="n"/>
      <c r="C36" s="83" t="inlineStr">
        <is>
          <t>TOP:VSSA</t>
        </is>
      </c>
      <c r="D36" s="83" t="inlineStr">
        <is>
          <t>VSSA</t>
        </is>
      </c>
      <c r="E36" s="83">
        <f>IF(AND(ISNUMBER(FIND("[",D36)),ISNUMBER(FIND("]",D36)),ISNUMBER(FIND(":",D36))),MID(D36,FIND("[",D36)+1,FIND(":",D36)-FIND("[",D36)-1)+1-MID(D36,FIND(":",D36)+1,FIND("]",D36)-FIND(":",D36)-1),IF(OR(ISNUMBER(FIND("[",D36)),ISNUMBER(FIND("]",D36)),ISNUMBER(FIND(":",D36))),"ERROR",1))</f>
        <v/>
      </c>
      <c r="F36" s="98" t="inlineStr">
        <is>
          <t>G</t>
        </is>
      </c>
      <c r="G36" s="93" t="n"/>
      <c r="H36" s="93" t="n"/>
      <c r="I36" s="93" t="n"/>
      <c r="M36" s="72" t="n"/>
      <c r="P36" s="72" t="n"/>
      <c r="Q36" s="93" t="n">
        <v>0</v>
      </c>
      <c r="R36" s="83" t="n"/>
      <c r="S36" s="83" t="n"/>
      <c r="T36" s="93" t="n"/>
    </row>
    <row r="37" hidden="1" s="26">
      <c r="A37" s="72" t="inlineStr">
        <is>
          <t>adc_model.adc_inst</t>
        </is>
      </c>
      <c r="B37" s="133" t="n"/>
      <c r="C37" s="83" t="inlineStr">
        <is>
          <t>TOP:pmu_inst_V12M_adc</t>
        </is>
      </c>
      <c r="D37" s="83" t="inlineStr">
        <is>
          <t>V12</t>
        </is>
      </c>
      <c r="E37" s="83">
        <f>IF(AND(ISNUMBER(FIND("[",D37)),ISNUMBER(FIND("]",D37)),ISNUMBER(FIND(":",D37))),MID(D37,FIND("[",D37)+1,FIND(":",D37)-FIND("[",D37)-1)+1-MID(D37,FIND(":",D37)+1,FIND("]",D37)-FIND(":",D37)-1),IF(OR(ISNUMBER(FIND("[",D37)),ISNUMBER(FIND("]",D37)),ISNUMBER(FIND(":",D37))),"ERROR",1))</f>
        <v/>
      </c>
      <c r="F37" s="98" t="inlineStr">
        <is>
          <t>P</t>
        </is>
      </c>
      <c r="G37" s="93" t="n"/>
      <c r="H37" s="93" t="n"/>
      <c r="I37" s="93" t="n"/>
      <c r="M37" s="72" t="n"/>
      <c r="P37" s="72" t="n"/>
      <c r="Q37" s="93" t="inlineStr">
        <is>
          <t>1.08V-1.32v</t>
        </is>
      </c>
      <c r="R37" s="83" t="n"/>
      <c r="S37" s="83" t="n"/>
      <c r="T37" s="93" t="n"/>
    </row>
    <row r="38" hidden="1" s="26">
      <c r="A38" s="72" t="inlineStr">
        <is>
          <t>adc_model.adc_inst</t>
        </is>
      </c>
      <c r="B38" s="133" t="n"/>
      <c r="C38" s="83" t="inlineStr">
        <is>
          <t>TOP:adc_inst_ADC_VIN</t>
        </is>
      </c>
      <c r="D38" s="83" t="inlineStr">
        <is>
          <t>ADC_VIN[11:0]</t>
        </is>
      </c>
      <c r="E38" s="83">
        <f>IF(AND(ISNUMBER(FIND("[",D38)),ISNUMBER(FIND("]",D38)),ISNUMBER(FIND(":",D38))),MID(D38,FIND("[",D38)+1,FIND(":",D38)-FIND("[",D38)-1)+1-MID(D38,FIND(":",D38)+1,FIND("]",D38)-FIND(":",D38)-1),IF(OR(ISNUMBER(FIND("[",D38)),ISNUMBER(FIND("]",D38)),ISNUMBER(FIND(":",D38))),"ERROR",1))</f>
        <v/>
      </c>
      <c r="F38" s="98" t="inlineStr">
        <is>
          <t>A</t>
        </is>
      </c>
      <c r="G38" s="93" t="n"/>
      <c r="H38" s="93" t="n"/>
      <c r="I38" s="93" t="n"/>
      <c r="M38" s="72" t="n"/>
      <c r="P38" s="72" t="n"/>
      <c r="Q38" s="93" t="inlineStr">
        <is>
          <t>ADC输入</t>
        </is>
      </c>
      <c r="R38" s="83" t="n"/>
      <c r="S38" s="83" t="n"/>
      <c r="T38" s="93" t="n"/>
    </row>
    <row r="39" hidden="1" s="26">
      <c r="A39" s="72" t="inlineStr">
        <is>
          <t>adc_model.adc_inst</t>
        </is>
      </c>
      <c r="B39" s="133" t="n"/>
      <c r="C39" s="83" t="inlineStr">
        <is>
          <t>TOP:adc_inst_ADC_VIP</t>
        </is>
      </c>
      <c r="D39" s="83" t="inlineStr">
        <is>
          <t>ADC_VIP[11:0]</t>
        </is>
      </c>
      <c r="E39" s="83">
        <f>IF(AND(ISNUMBER(FIND("[",D39)),ISNUMBER(FIND("]",D39)),ISNUMBER(FIND(":",D39))),MID(D39,FIND("[",D39)+1,FIND(":",D39)-FIND("[",D39)-1)+1-MID(D39,FIND(":",D39)+1,FIND("]",D39)-FIND(":",D39)-1),IF(OR(ISNUMBER(FIND("[",D39)),ISNUMBER(FIND("]",D39)),ISNUMBER(FIND(":",D39))),"ERROR",1))</f>
        <v/>
      </c>
      <c r="F39" s="98" t="inlineStr">
        <is>
          <t>A</t>
        </is>
      </c>
      <c r="G39" s="93" t="n"/>
      <c r="H39" s="93" t="n"/>
      <c r="I39" s="93" t="n"/>
      <c r="M39" s="72" t="n"/>
      <c r="P39" s="72" t="n"/>
      <c r="Q39" s="93" t="inlineStr">
        <is>
          <t>ADC输入</t>
        </is>
      </c>
      <c r="R39" s="83" t="n"/>
      <c r="S39" s="83" t="n"/>
      <c r="T39" s="93" t="n"/>
    </row>
    <row r="40" hidden="1" s="26">
      <c r="A40" s="72" t="inlineStr">
        <is>
          <t>adc_model.adc_inst</t>
        </is>
      </c>
      <c r="B40" s="133" t="n"/>
      <c r="C40" s="83" t="inlineStr">
        <is>
          <t>TOP:adc_inst_VREF_EXT</t>
        </is>
      </c>
      <c r="D40" s="83" t="inlineStr">
        <is>
          <t>VREF_EXT</t>
        </is>
      </c>
      <c r="E40" s="83">
        <f>IF(AND(ISNUMBER(FIND("[",D40)),ISNUMBER(FIND("]",D40)),ISNUMBER(FIND(":",D40))),MID(D40,FIND("[",D40)+1,FIND(":",D40)-FIND("[",D40)-1)+1-MID(D40,FIND(":",D40)+1,FIND("]",D40)-FIND(":",D40)-1),IF(OR(ISNUMBER(FIND("[",D40)),ISNUMBER(FIND("]",D40)),ISNUMBER(FIND(":",D40))),"ERROR",1))</f>
        <v/>
      </c>
      <c r="F40" s="98" t="inlineStr">
        <is>
          <t>A</t>
        </is>
      </c>
      <c r="G40" s="93" t="n"/>
      <c r="H40" s="93" t="n"/>
      <c r="I40" s="93" t="n"/>
      <c r="M40" s="72" t="n"/>
      <c r="P40" s="72" t="n"/>
      <c r="Q40" s="93" t="inlineStr">
        <is>
          <t>外部输入参考电压</t>
        </is>
      </c>
      <c r="R40" s="83" t="n"/>
      <c r="S40" s="83" t="n"/>
      <c r="T40" s="93" t="n"/>
    </row>
    <row r="41" hidden="1" s="26">
      <c r="A41" s="72" t="inlineStr">
        <is>
          <t>adc_model.adc_inst</t>
        </is>
      </c>
      <c r="B41" s="133" t="n"/>
      <c r="C41" s="83" t="inlineStr">
        <is>
          <t>TOP:adc_inst_VREFN</t>
        </is>
      </c>
      <c r="D41" s="83" t="inlineStr">
        <is>
          <t>VREFN</t>
        </is>
      </c>
      <c r="E41" s="83">
        <f>IF(AND(ISNUMBER(FIND("[",D41)),ISNUMBER(FIND("]",D41)),ISNUMBER(FIND(":",D41))),MID(D41,FIND("[",D41)+1,FIND(":",D41)-FIND("[",D41)-1)+1-MID(D41,FIND(":",D41)+1,FIND("]",D41)-FIND(":",D41)-1),IF(OR(ISNUMBER(FIND("[",D41)),ISNUMBER(FIND("]",D41)),ISNUMBER(FIND(":",D41))),"ERROR",1))</f>
        <v/>
      </c>
      <c r="F41" s="98" t="inlineStr">
        <is>
          <t>A</t>
        </is>
      </c>
      <c r="G41" s="93" t="n"/>
      <c r="H41" s="93" t="n"/>
      <c r="I41" s="93" t="n"/>
      <c r="M41" s="72" t="n"/>
      <c r="P41" s="72" t="n"/>
      <c r="Q41" s="83" t="inlineStr">
        <is>
          <t>参考电压（负）</t>
        </is>
      </c>
      <c r="R41" s="83" t="n"/>
      <c r="S41" s="83" t="n"/>
      <c r="T41" s="93" t="n"/>
    </row>
    <row r="42" hidden="1" s="26">
      <c r="A42" s="72" t="inlineStr">
        <is>
          <t>adc_model.adc_inst</t>
        </is>
      </c>
      <c r="B42" s="133" t="n"/>
      <c r="C42" s="83" t="inlineStr">
        <is>
          <t>TOP:pmu_inst_Ibias_1u[1]</t>
        </is>
      </c>
      <c r="D42" s="83" t="inlineStr">
        <is>
          <t>ADC_IBP1U</t>
        </is>
      </c>
      <c r="E42" s="83">
        <f>IF(AND(ISNUMBER(FIND("[",D42)),ISNUMBER(FIND("]",D42)),ISNUMBER(FIND(":",D42))),MID(D42,FIND("[",D42)+1,FIND(":",D42)-FIND("[",D42)-1)+1-MID(D42,FIND(":",D42)+1,FIND("]",D42)-FIND(":",D42)-1),IF(OR(ISNUMBER(FIND("[",D42)),ISNUMBER(FIND("]",D42)),ISNUMBER(FIND(":",D42))),"ERROR",1))</f>
        <v/>
      </c>
      <c r="F42" s="98" t="inlineStr">
        <is>
          <t>A</t>
        </is>
      </c>
      <c r="G42" s="93" t="n"/>
      <c r="H42" s="93" t="n"/>
      <c r="I42" s="93" t="n"/>
      <c r="M42" s="72" t="n"/>
      <c r="P42" s="72" t="n"/>
      <c r="Q42" s="83" t="inlineStr">
        <is>
          <t>参考电流1uA</t>
        </is>
      </c>
      <c r="R42" s="83" t="n"/>
      <c r="S42" s="83" t="n"/>
      <c r="T42" s="93" t="n"/>
    </row>
    <row r="43" hidden="1" s="26">
      <c r="A43" s="72" t="inlineStr">
        <is>
          <t>adc_model.adc_inst</t>
        </is>
      </c>
      <c r="B43" s="133" t="n"/>
      <c r="C43" s="83" t="inlineStr">
        <is>
          <t>TOP:pmu_inst_VREF1P2</t>
        </is>
      </c>
      <c r="D43" s="83" t="inlineStr">
        <is>
          <t>ADC_VREF1P2</t>
        </is>
      </c>
      <c r="E43" s="83">
        <f>IF(AND(ISNUMBER(FIND("[",D43)),ISNUMBER(FIND("]",D43)),ISNUMBER(FIND(":",D43))),MID(D43,FIND("[",D43)+1,FIND(":",D43)-FIND("[",D43)-1)+1-MID(D43,FIND(":",D43)+1,FIND("]",D43)-FIND(":",D43)-1),IF(OR(ISNUMBER(FIND("[",D43)),ISNUMBER(FIND("]",D43)),ISNUMBER(FIND(":",D43))),"ERROR",1))</f>
        <v/>
      </c>
      <c r="F43" s="98" t="inlineStr">
        <is>
          <t>A</t>
        </is>
      </c>
      <c r="G43" s="93" t="n"/>
      <c r="H43" s="93" t="n"/>
      <c r="I43" s="93" t="n"/>
      <c r="M43" s="72" t="n"/>
      <c r="P43" s="72" t="n"/>
      <c r="Q43" s="83" t="inlineStr">
        <is>
          <t xml:space="preserve">参考电压1.5V </t>
        </is>
      </c>
      <c r="R43" s="83" t="n"/>
      <c r="S43" s="83" t="n"/>
      <c r="T43" s="93" t="n"/>
    </row>
    <row r="44" hidden="1" s="26">
      <c r="A44" s="72" t="inlineStr">
        <is>
          <t>adc_model.adc_inst</t>
        </is>
      </c>
      <c r="B44" s="133" t="n"/>
      <c r="C44" s="122" t="inlineStr">
        <is>
          <t>TOP:adc_inst_VREFP_TEST</t>
        </is>
      </c>
      <c r="D44" s="122" t="inlineStr">
        <is>
          <t>VREFP_TEST</t>
        </is>
      </c>
      <c r="E44" s="83">
        <f>IF(AND(ISNUMBER(FIND("[",D44)),ISNUMBER(FIND("]",D44)),ISNUMBER(FIND(":",D44))),MID(D44,FIND("[",D44)+1,FIND(":",D44)-FIND("[",D44)-1)+1-MID(D44,FIND(":",D44)+1,FIND("]",D44)-FIND(":",D44)-1),IF(OR(ISNUMBER(FIND("[",D44)),ISNUMBER(FIND("]",D44)),ISNUMBER(FIND(":",D44))),"ERROR",1))</f>
        <v/>
      </c>
      <c r="F44" s="98" t="inlineStr">
        <is>
          <t>A</t>
        </is>
      </c>
      <c r="G44" s="93" t="n"/>
      <c r="H44" s="93" t="n"/>
      <c r="I44" s="93" t="n"/>
      <c r="M44" s="72" t="n"/>
      <c r="P44" s="72" t="n"/>
      <c r="Q44" s="122" t="inlineStr">
        <is>
          <t>删除</t>
        </is>
      </c>
      <c r="R44" s="83" t="n"/>
      <c r="S44" s="83" t="n"/>
      <c r="T44" s="93" t="n"/>
    </row>
    <row r="45" hidden="1" s="26">
      <c r="A45" s="72" t="inlineStr">
        <is>
          <t>adc_model.adc_inst</t>
        </is>
      </c>
      <c r="B45" s="133" t="n"/>
      <c r="C45" s="83" t="inlineStr">
        <is>
          <t>TOP:adc_inst_POC_5V</t>
        </is>
      </c>
      <c r="D45" s="83" t="inlineStr">
        <is>
          <t>POC_5V</t>
        </is>
      </c>
      <c r="E45" s="83">
        <f>IF(AND(ISNUMBER(FIND("[",D45)),ISNUMBER(FIND("]",D45)),ISNUMBER(FIND(":",D45))),MID(D45,FIND("[",D45)+1,FIND(":",D45)-FIND("[",D45)-1)+1-MID(D45,FIND(":",D45)+1,FIND("]",D45)-FIND(":",D45)-1),IF(OR(ISNUMBER(FIND("[",D45)),ISNUMBER(FIND("]",D45)),ISNUMBER(FIND(":",D45))),"ERROR",1))</f>
        <v/>
      </c>
      <c r="F45" s="98" t="inlineStr">
        <is>
          <t>A</t>
        </is>
      </c>
      <c r="G45" s="93" t="n"/>
      <c r="H45" s="93" t="n"/>
      <c r="I45" s="93" t="n"/>
      <c r="M45" s="72" t="n"/>
      <c r="P45" s="72" t="n"/>
      <c r="Q45" s="83" t="inlineStr">
        <is>
          <t>5V POR OK信号 ，用来控制Levelshift，确保在POR释放前levelshift输出有确定值</t>
        </is>
      </c>
      <c r="R45" s="83" t="n"/>
      <c r="S45" s="83" t="n"/>
      <c r="T45" s="93" t="n"/>
    </row>
    <row r="46" hidden="1" s="26">
      <c r="A46" s="72" t="inlineStr">
        <is>
          <t>adc_model.adc_inst</t>
        </is>
      </c>
      <c r="B46" s="133" t="n"/>
      <c r="C46" s="119" t="inlineStr">
        <is>
          <t>TOP:adc_inst_ADC_VREFTEST</t>
        </is>
      </c>
      <c r="D46" s="119" t="inlineStr">
        <is>
          <t>ADC_VREFTEST</t>
        </is>
      </c>
      <c r="E46" s="83">
        <f>IF(AND(ISNUMBER(FIND("[",D46)),ISNUMBER(FIND("]",D46)),ISNUMBER(FIND(":",D46))),MID(D46,FIND("[",D46)+1,FIND(":",D46)-FIND("[",D46)-1)+1-MID(D46,FIND(":",D46)+1,FIND("]",D46)-FIND(":",D46)-1),IF(OR(ISNUMBER(FIND("[",D46)),ISNUMBER(FIND("]",D46)),ISNUMBER(FIND(":",D46))),"ERROR",1))</f>
        <v/>
      </c>
      <c r="F46" s="98" t="inlineStr">
        <is>
          <t>A</t>
        </is>
      </c>
      <c r="G46" s="93" t="n"/>
      <c r="H46" s="93" t="n"/>
      <c r="I46" s="93" t="n"/>
      <c r="M46" s="72" t="n"/>
      <c r="P46" s="72" t="n"/>
      <c r="Q46" s="83" t="inlineStr">
        <is>
          <t>ADC内部产生参考电压（经过buffer）</t>
        </is>
      </c>
      <c r="R46" s="83" t="n"/>
      <c r="S46" s="83" t="n"/>
      <c r="T46" s="93" t="n"/>
    </row>
    <row r="47" hidden="1" s="26">
      <c r="A47" s="72" t="inlineStr">
        <is>
          <t>adc_model.adc_inst</t>
        </is>
      </c>
      <c r="B47" s="133" t="n"/>
      <c r="C47" s="83" t="inlineStr">
        <is>
          <t>core_pd.core_pd_inst</t>
        </is>
      </c>
      <c r="D47" s="111" t="inlineStr">
        <is>
          <t>BOUTL[11:0]</t>
        </is>
      </c>
      <c r="E47" s="83">
        <f>IF(AND(ISNUMBER(FIND("[",D47)),ISNUMBER(FIND("]",D47)),ISNUMBER(FIND(":",D47))),MID(D47,FIND("[",D47)+1,FIND(":",D47)-FIND("[",D47)-1)+1-MID(D47,FIND(":",D47)+1,FIND("]",D47)-FIND(":",D47)-1),IF(OR(ISNUMBER(FIND("[",D47)),ISNUMBER(FIND("]",D47)),ISNUMBER(FIND(":",D47))),"ERROR",1))</f>
        <v/>
      </c>
      <c r="F47" s="98" t="inlineStr">
        <is>
          <t>O</t>
        </is>
      </c>
      <c r="G47" s="93" t="n"/>
      <c r="H47" s="93" t="n"/>
      <c r="I47" s="93" t="inlineStr">
        <is>
          <t>YES</t>
        </is>
      </c>
      <c r="J47" s="88" t="n"/>
      <c r="K47" s="88" t="n"/>
      <c r="L47" s="88" t="n"/>
      <c r="M47" s="89">
        <f>H47</f>
        <v/>
      </c>
      <c r="N47" s="88" t="n"/>
      <c r="O47" s="88">
        <f>IF(AND(OR(EXACT(F47,"I"),EXACT(F47,"O")),NOT(EXACT(P47,"NA"))),CONCATENATE("c_reg_test_sel_",RIGHT(IF(B47=0,LOOKUP(2,1/($B$2:B47&lt;&gt;0),$B$2:B47),B47),LEN(IF(B47=0,LOOKUP(2,1/($B$2:B47&lt;&gt;0),$B$2:B47),B47))-FIND(".",IF(B47=0,LOOKUP(2,1/($B$2:B47&lt;&gt;0),$B$2:B47),B47))),IF(0,CONCATENATE("&amp; !c_test_reg_pin_disable_",RIGHT(IF(B47=0,LOOKUP(2,1/($B$2:B47&lt;&gt;0),$B$2:B47),B47),LEN(IF(B47=0,LOOKUP(2,1/($B$2:B47&lt;&gt;0),$B$2:B47),B47))-FIND(".",IF(B47=0,LOOKUP(2,1/($B$2:B47&lt;&gt;0),$B$2:B47),B47)))),""),IF(P47,CONCATENATE("_grp_",P47),""),"/","c_pad_",RIGHT(IF(B47=0,LOOKUP(2,1/($B$2:B47&lt;&gt;0),$B$2:B47),B47),LEN(IF(B47=0,LOOKUP(2,1/($B$2:B47&lt;&gt;0),$B$2:B47),B47))-FIND(".",IF(B47=0,LOOKUP(2,1/($B$2:B47&lt;&gt;0),$B$2:B47),B47))),"_",IF(ISNUMBER(SEARCH("[",D47)),LEFT(D47,FIND("[",D47)-1),D47)),"")</f>
        <v/>
      </c>
      <c r="P47" s="90" t="n"/>
      <c r="Q47" s="83" t="inlineStr">
        <is>
          <t>ADC输出</t>
        </is>
      </c>
      <c r="R47" s="91" t="inlineStr">
        <is>
          <t>0x0004</t>
        </is>
      </c>
      <c r="S47" s="83" t="n"/>
      <c r="T47" s="93" t="n"/>
    </row>
    <row r="48" hidden="1" s="26">
      <c r="A48" s="72" t="inlineStr">
        <is>
          <t>adc_model.adc_inst</t>
        </is>
      </c>
      <c r="B48" s="133" t="n"/>
      <c r="C48" s="83" t="inlineStr">
        <is>
          <t>core_pd.core_pd_inst</t>
        </is>
      </c>
      <c r="D48" s="111" t="inlineStr">
        <is>
          <t>EOCL</t>
        </is>
      </c>
      <c r="E48" s="83">
        <f>IF(AND(ISNUMBER(FIND("[",D48)),ISNUMBER(FIND("]",D48)),ISNUMBER(FIND(":",D48))),MID(D48,FIND("[",D48)+1,FIND(":",D48)-FIND("[",D48)-1)+1-MID(D48,FIND(":",D48)+1,FIND("]",D48)-FIND(":",D48)-1),IF(OR(ISNUMBER(FIND("[",D48)),ISNUMBER(FIND("]",D48)),ISNUMBER(FIND(":",D48))),"ERROR",1))</f>
        <v/>
      </c>
      <c r="F48" s="98" t="inlineStr">
        <is>
          <t>O</t>
        </is>
      </c>
      <c r="G48" s="93" t="n"/>
      <c r="H48" s="93" t="n"/>
      <c r="I48" s="93" t="inlineStr">
        <is>
          <t>YES</t>
        </is>
      </c>
      <c r="J48" s="88" t="n"/>
      <c r="K48" s="88" t="n"/>
      <c r="L48" s="88" t="n"/>
      <c r="M48" s="89">
        <f>H48</f>
        <v/>
      </c>
      <c r="N48" s="88" t="n"/>
      <c r="O48" s="88">
        <f>IF(AND(OR(EXACT(F48,"I"),EXACT(F48,"O")),NOT(EXACT(P48,"NA"))),CONCATENATE("c_reg_test_sel_",RIGHT(IF(B48=0,LOOKUP(2,1/($B$2:B48&lt;&gt;0),$B$2:B48),B48),LEN(IF(B48=0,LOOKUP(2,1/($B$2:B48&lt;&gt;0),$B$2:B48),B48))-FIND(".",IF(B48=0,LOOKUP(2,1/($B$2:B48&lt;&gt;0),$B$2:B48),B48))),IF(0,CONCATENATE("&amp; !c_test_reg_pin_disable_",RIGHT(IF(B48=0,LOOKUP(2,1/($B$2:B48&lt;&gt;0),$B$2:B48),B48),LEN(IF(B48=0,LOOKUP(2,1/($B$2:B48&lt;&gt;0),$B$2:B48),B48))-FIND(".",IF(B48=0,LOOKUP(2,1/($B$2:B48&lt;&gt;0),$B$2:B48),B48)))),""),IF(P48,CONCATENATE("_grp_",P48),""),"/","c_pad_",RIGHT(IF(B48=0,LOOKUP(2,1/($B$2:B48&lt;&gt;0),$B$2:B48),B48),LEN(IF(B48=0,LOOKUP(2,1/($B$2:B48&lt;&gt;0),$B$2:B48),B48))-FIND(".",IF(B48=0,LOOKUP(2,1/($B$2:B48&lt;&gt;0),$B$2:B48),B48))),"_",IF(ISNUMBER(SEARCH("[",D48)),LEFT(D48,FIND("[",D48)-1),D48)),"")</f>
        <v/>
      </c>
      <c r="P48" s="90" t="n"/>
      <c r="Q48" s="83" t="inlineStr">
        <is>
          <t>ADC EOC标志</t>
        </is>
      </c>
      <c r="R48" s="91" t="inlineStr">
        <is>
          <t>0x000A</t>
        </is>
      </c>
      <c r="S48" s="83" t="n"/>
      <c r="T48" s="93" t="n"/>
    </row>
    <row r="49">
      <c r="A49" s="72" t="inlineStr">
        <is>
          <t>adc_model.adc_inst</t>
        </is>
      </c>
      <c r="B49" s="133" t="n"/>
      <c r="C49" s="94" t="inlineStr">
        <is>
          <t>core_pd.core_pd_inst</t>
        </is>
      </c>
      <c r="D49" s="94" t="inlineStr">
        <is>
          <t>Single</t>
        </is>
      </c>
      <c r="E49" s="83">
        <f>IF(AND(ISNUMBER(FIND("[",D49)),ISNUMBER(FIND("]",D49)),ISNUMBER(FIND(":",D49))),MID(D49,FIND("[",D49)+1,FIND(":",D49)-FIND("[",D49)-1)+1-MID(D49,FIND(":",D49)+1,FIND("]",D49)-FIND(":",D49)-1),IF(OR(ISNUMBER(FIND("[",D49)),ISNUMBER(FIND("]",D49)),ISNUMBER(FIND(":",D49))),"ERROR",1))</f>
        <v/>
      </c>
      <c r="F49" s="98" t="inlineStr">
        <is>
          <t>I</t>
        </is>
      </c>
      <c r="G49" s="93" t="n"/>
      <c r="H49" s="93" t="inlineStr">
        <is>
          <t>b0</t>
        </is>
      </c>
      <c r="I49" s="93" t="inlineStr">
        <is>
          <t>YES</t>
        </is>
      </c>
      <c r="J49" s="88" t="n"/>
      <c r="K49" s="88" t="n"/>
      <c r="L49" s="88" t="n"/>
      <c r="M49" s="89">
        <f>H49</f>
        <v/>
      </c>
      <c r="N49" s="88" t="n"/>
      <c r="O49" s="88">
        <f>IF(AND(OR(EXACT(F49,"I"),EXACT(F49,"O")),NOT(EXACT(P49,"NA"))),CONCATENATE("c_reg_test_sel_",RIGHT(IF(B49=0,LOOKUP(2,1/($B$2:B49&lt;&gt;0),$B$2:B49),B49),LEN(IF(B49=0,LOOKUP(2,1/($B$2:B49&lt;&gt;0),$B$2:B49),B49))-FIND(".",IF(B49=0,LOOKUP(2,1/($B$2:B49&lt;&gt;0),$B$2:B49),B49))),IF(0,CONCATENATE("&amp; !c_test_reg_pin_disable_",RIGHT(IF(B49=0,LOOKUP(2,1/($B$2:B49&lt;&gt;0),$B$2:B49),B49),LEN(IF(B49=0,LOOKUP(2,1/($B$2:B49&lt;&gt;0),$B$2:B49),B49))-FIND(".",IF(B49=0,LOOKUP(2,1/($B$2:B49&lt;&gt;0),$B$2:B49),B49)))),""),IF(P49,CONCATENATE("_grp_",P49),""),"/","c_pad_",RIGHT(IF(B49=0,LOOKUP(2,1/($B$2:B49&lt;&gt;0),$B$2:B49),B49),LEN(IF(B49=0,LOOKUP(2,1/($B$2:B49&lt;&gt;0),$B$2:B49),B49))-FIND(".",IF(B49=0,LOOKUP(2,1/($B$2:B49&lt;&gt;0),$B$2:B49),B49))),"_",IF(ISNUMBER(SEARCH("[",D49)),LEFT(D49,FIND("[",D49)-1),D49)),"")</f>
        <v/>
      </c>
      <c r="P49" s="90" t="n"/>
      <c r="Q49" s="83" t="n"/>
      <c r="R49" s="91" t="n"/>
      <c r="S49" s="83" t="n"/>
      <c r="T49" s="93" t="n"/>
    </row>
    <row r="50">
      <c r="A50" s="72" t="inlineStr">
        <is>
          <t>adc_model.adc_inst</t>
        </is>
      </c>
      <c r="B50" s="133" t="n"/>
      <c r="C50" s="83" t="inlineStr">
        <is>
          <t>core_pd.core_pd_inst</t>
        </is>
      </c>
      <c r="D50" s="83" t="inlineStr">
        <is>
          <t>LI_ADC_CLK</t>
        </is>
      </c>
      <c r="E50" s="83">
        <f>IF(AND(ISNUMBER(FIND("[",D50)),ISNUMBER(FIND("]",D50)),ISNUMBER(FIND(":",D50))),MID(D50,FIND("[",D50)+1,FIND(":",D50)-FIND("[",D50)-1)+1-MID(D50,FIND(":",D50)+1,FIND("]",D50)-FIND(":",D50)-1),IF(OR(ISNUMBER(FIND("[",D50)),ISNUMBER(FIND("]",D50)),ISNUMBER(FIND(":",D50))),"ERROR",1))</f>
        <v/>
      </c>
      <c r="F50" s="98" t="inlineStr">
        <is>
          <t>I</t>
        </is>
      </c>
      <c r="G50" s="93" t="n"/>
      <c r="H50" s="93" t="inlineStr">
        <is>
          <t>b0</t>
        </is>
      </c>
      <c r="I50" s="93" t="inlineStr">
        <is>
          <t>NO</t>
        </is>
      </c>
      <c r="J50" s="88" t="n"/>
      <c r="K50" s="88" t="n"/>
      <c r="L50" s="88" t="n"/>
      <c r="M50" s="89">
        <f>H50</f>
        <v/>
      </c>
      <c r="N50" s="88" t="n"/>
      <c r="O50" s="88">
        <f>IF(AND(OR(EXACT(F50,"I"),EXACT(F50,"O")),NOT(EXACT(P50,"NA"))),CONCATENATE("c_reg_test_sel_",RIGHT(IF(B50=0,LOOKUP(2,1/($B$2:B50&lt;&gt;0),$B$2:B50),B50),LEN(IF(B50=0,LOOKUP(2,1/($B$2:B50&lt;&gt;0),$B$2:B50),B50))-FIND(".",IF(B50=0,LOOKUP(2,1/($B$2:B50&lt;&gt;0),$B$2:B50),B50))),IF(0,CONCATENATE("&amp; !c_test_reg_pin_disable_",RIGHT(IF(B50=0,LOOKUP(2,1/($B$2:B50&lt;&gt;0),$B$2:B50),B50),LEN(IF(B50=0,LOOKUP(2,1/($B$2:B50&lt;&gt;0),$B$2:B50),B50))-FIND(".",IF(B50=0,LOOKUP(2,1/($B$2:B50&lt;&gt;0),$B$2:B50),B50)))),""),IF(P50,CONCATENATE("_grp_",P50),""),"/","c_pad_",RIGHT(IF(B50=0,LOOKUP(2,1/($B$2:B50&lt;&gt;0),$B$2:B50),B50),LEN(IF(B50=0,LOOKUP(2,1/($B$2:B50&lt;&gt;0),$B$2:B50),B50))-FIND(".",IF(B50=0,LOOKUP(2,1/($B$2:B50&lt;&gt;0),$B$2:B50),B50))),"_",IF(ISNUMBER(SEARCH("[",D50)),LEFT(D50,FIND("[",D50)-1),D50)),"")</f>
        <v/>
      </c>
      <c r="P50" s="90" t="n"/>
      <c r="Q50" s="83" t="inlineStr">
        <is>
          <t>ADC时钟</t>
        </is>
      </c>
      <c r="R50" s="83" t="n"/>
      <c r="S50" s="83" t="n"/>
      <c r="T50" s="93" t="n"/>
    </row>
    <row r="51">
      <c r="A51" s="72" t="inlineStr">
        <is>
          <t>adc_model.adc_inst</t>
        </is>
      </c>
      <c r="B51" s="133" t="n"/>
      <c r="C51" s="83" t="inlineStr">
        <is>
          <t>core_pd.core_pd_inst</t>
        </is>
      </c>
      <c r="D51" s="83" t="inlineStr">
        <is>
          <t>LI_ADC_EN</t>
        </is>
      </c>
      <c r="E51" s="83">
        <f>IF(AND(ISNUMBER(FIND("[",D51)),ISNUMBER(FIND("]",D51)),ISNUMBER(FIND(":",D51))),MID(D51,FIND("[",D51)+1,FIND(":",D51)-FIND("[",D51)-1)+1-MID(D51,FIND(":",D51)+1,FIND("]",D51)-FIND(":",D51)-1),IF(OR(ISNUMBER(FIND("[",D51)),ISNUMBER(FIND("]",D51)),ISNUMBER(FIND(":",D51))),"ERROR",1))</f>
        <v/>
      </c>
      <c r="F51" s="98" t="inlineStr">
        <is>
          <t>I</t>
        </is>
      </c>
      <c r="G51" s="93" t="n"/>
      <c r="H51" s="93" t="inlineStr">
        <is>
          <t>b0</t>
        </is>
      </c>
      <c r="I51" s="93" t="inlineStr">
        <is>
          <t>YES</t>
        </is>
      </c>
      <c r="J51" s="88" t="n"/>
      <c r="K51" s="88" t="n"/>
      <c r="L51" s="88" t="n"/>
      <c r="M51" s="89">
        <f>H51</f>
        <v/>
      </c>
      <c r="N51" s="88" t="n"/>
      <c r="O51" s="88">
        <f>IF(AND(OR(EXACT(F51,"I"),EXACT(F51,"O")),NOT(EXACT(P51,"NA"))),CONCATENATE("c_reg_test_sel_",RIGHT(IF(B51=0,LOOKUP(2,1/($B$2:B51&lt;&gt;0),$B$2:B51),B51),LEN(IF(B51=0,LOOKUP(2,1/($B$2:B51&lt;&gt;0),$B$2:B51),B51))-FIND(".",IF(B51=0,LOOKUP(2,1/($B$2:B51&lt;&gt;0),$B$2:B51),B51))),IF(0,CONCATENATE("&amp; !c_test_reg_pin_disable_",RIGHT(IF(B51=0,LOOKUP(2,1/($B$2:B51&lt;&gt;0),$B$2:B51),B51),LEN(IF(B51=0,LOOKUP(2,1/($B$2:B51&lt;&gt;0),$B$2:B51),B51))-FIND(".",IF(B51=0,LOOKUP(2,1/($B$2:B51&lt;&gt;0),$B$2:B51),B51)))),""),IF(P51,CONCATENATE("_grp_",P51),""),"/","c_pad_",RIGHT(IF(B51=0,LOOKUP(2,1/($B$2:B51&lt;&gt;0),$B$2:B51),B51),LEN(IF(B51=0,LOOKUP(2,1/($B$2:B51&lt;&gt;0),$B$2:B51),B51))-FIND(".",IF(B51=0,LOOKUP(2,1/($B$2:B51&lt;&gt;0),$B$2:B51),B51))),"_",IF(ISNUMBER(SEARCH("[",D51)),LEFT(D51,FIND("[",D51)-1),D51)),"")</f>
        <v/>
      </c>
      <c r="P51" s="90" t="n"/>
      <c r="Q51" s="83" t="inlineStr">
        <is>
          <t>ADC enable信号 1:enable 0:disable</t>
        </is>
      </c>
      <c r="R51" s="83" t="inlineStr">
        <is>
          <t>0x000B</t>
        </is>
      </c>
      <c r="S51" s="83" t="inlineStr">
        <is>
          <t>[0]</t>
        </is>
      </c>
      <c r="T51" s="93" t="n"/>
    </row>
    <row r="52">
      <c r="A52" s="72" t="inlineStr">
        <is>
          <t>adc_model.adc_inst</t>
        </is>
      </c>
      <c r="B52" s="133" t="n"/>
      <c r="C52" s="83" t="inlineStr">
        <is>
          <t>core_pd.core_pd_inst</t>
        </is>
      </c>
      <c r="D52" s="83" t="inlineStr">
        <is>
          <t>LI_ADC_SOC</t>
        </is>
      </c>
      <c r="E52" s="83">
        <f>IF(AND(ISNUMBER(FIND("[",D52)),ISNUMBER(FIND("]",D52)),ISNUMBER(FIND(":",D52))),MID(D52,FIND("[",D52)+1,FIND(":",D52)-FIND("[",D52)-1)+1-MID(D52,FIND(":",D52)+1,FIND("]",D52)-FIND(":",D52)-1),IF(OR(ISNUMBER(FIND("[",D52)),ISNUMBER(FIND("]",D52)),ISNUMBER(FIND(":",D52))),"ERROR",1))</f>
        <v/>
      </c>
      <c r="F52" s="98" t="inlineStr">
        <is>
          <t>I</t>
        </is>
      </c>
      <c r="G52" s="93" t="n"/>
      <c r="H52" s="93" t="inlineStr">
        <is>
          <t>b0</t>
        </is>
      </c>
      <c r="I52" s="93" t="inlineStr">
        <is>
          <t>YES</t>
        </is>
      </c>
      <c r="J52" s="88" t="n"/>
      <c r="K52" s="88" t="n"/>
      <c r="L52" s="88" t="n"/>
      <c r="M52" s="89">
        <f>H52</f>
        <v/>
      </c>
      <c r="N52" s="88" t="n"/>
      <c r="O52" s="88">
        <f>IF(AND(OR(EXACT(F52,"I"),EXACT(F52,"O")),NOT(EXACT(P52,"NA"))),CONCATENATE("c_reg_test_sel_",RIGHT(IF(B52=0,LOOKUP(2,1/($B$2:B52&lt;&gt;0),$B$2:B52),B52),LEN(IF(B52=0,LOOKUP(2,1/($B$2:B52&lt;&gt;0),$B$2:B52),B52))-FIND(".",IF(B52=0,LOOKUP(2,1/($B$2:B52&lt;&gt;0),$B$2:B52),B52))),IF(0,CONCATENATE("&amp; !c_test_reg_pin_disable_",RIGHT(IF(B52=0,LOOKUP(2,1/($B$2:B52&lt;&gt;0),$B$2:B52),B52),LEN(IF(B52=0,LOOKUP(2,1/($B$2:B52&lt;&gt;0),$B$2:B52),B52))-FIND(".",IF(B52=0,LOOKUP(2,1/($B$2:B52&lt;&gt;0),$B$2:B52),B52)))),""),IF(P52,CONCATENATE("_grp_",P52),""),"/","c_pad_",RIGHT(IF(B52=0,LOOKUP(2,1/($B$2:B52&lt;&gt;0),$B$2:B52),B52),LEN(IF(B52=0,LOOKUP(2,1/($B$2:B52&lt;&gt;0),$B$2:B52),B52))-FIND(".",IF(B52=0,LOOKUP(2,1/($B$2:B52&lt;&gt;0),$B$2:B52),B52))),"_",IF(ISNUMBER(SEARCH("[",D52)),LEFT(D52,FIND("[",D52)-1),D52)),"")</f>
        <v/>
      </c>
      <c r="P52" s="90" t="n"/>
      <c r="Q52" s="83" t="inlineStr">
        <is>
          <t>ADC开始转换信号，一个clk宽度高电平</t>
        </is>
      </c>
      <c r="R52" s="83" t="inlineStr">
        <is>
          <t>0x000B</t>
        </is>
      </c>
      <c r="S52" s="83" t="inlineStr">
        <is>
          <t>[1]</t>
        </is>
      </c>
      <c r="T52" s="93" t="n"/>
    </row>
    <row r="53">
      <c r="A53" s="72" t="inlineStr">
        <is>
          <t>adc_model.adc_inst</t>
        </is>
      </c>
      <c r="B53" s="133" t="n"/>
      <c r="C53" s="83" t="inlineStr">
        <is>
          <t>core_pd.core_pd_inst</t>
        </is>
      </c>
      <c r="D53" s="83" t="inlineStr">
        <is>
          <t>LI_ADC_VINSEL[3:0]</t>
        </is>
      </c>
      <c r="E53" s="83">
        <f>IF(AND(ISNUMBER(FIND("[",D53)),ISNUMBER(FIND("]",D53)),ISNUMBER(FIND(":",D53))),MID(D53,FIND("[",D53)+1,FIND(":",D53)-FIND("[",D53)-1)+1-MID(D53,FIND(":",D53)+1,FIND("]",D53)-FIND(":",D53)-1),IF(OR(ISNUMBER(FIND("[",D53)),ISNUMBER(FIND("]",D53)),ISNUMBER(FIND(":",D53))),"ERROR",1))</f>
        <v/>
      </c>
      <c r="F53" s="98" t="inlineStr">
        <is>
          <t>I</t>
        </is>
      </c>
      <c r="G53" s="93" t="n"/>
      <c r="H53" s="93" t="inlineStr">
        <is>
          <t>b0000</t>
        </is>
      </c>
      <c r="I53" s="93" t="inlineStr">
        <is>
          <t>YES</t>
        </is>
      </c>
      <c r="J53" s="88" t="n"/>
      <c r="K53" s="88" t="n"/>
      <c r="L53" s="88" t="n"/>
      <c r="M53" s="89">
        <f>H53</f>
        <v/>
      </c>
      <c r="N53" s="88" t="n"/>
      <c r="O53" s="88">
        <f>IF(AND(OR(EXACT(F53,"I"),EXACT(F53,"O")),NOT(EXACT(P53,"NA"))),CONCATENATE("c_reg_test_sel_",RIGHT(IF(B53=0,LOOKUP(2,1/($B$2:B53&lt;&gt;0),$B$2:B53),B53),LEN(IF(B53=0,LOOKUP(2,1/($B$2:B53&lt;&gt;0),$B$2:B53),B53))-FIND(".",IF(B53=0,LOOKUP(2,1/($B$2:B53&lt;&gt;0),$B$2:B53),B53))),IF(0,CONCATENATE("&amp; !c_test_reg_pin_disable_",RIGHT(IF(B53=0,LOOKUP(2,1/($B$2:B53&lt;&gt;0),$B$2:B53),B53),LEN(IF(B53=0,LOOKUP(2,1/($B$2:B53&lt;&gt;0),$B$2:B53),B53))-FIND(".",IF(B53=0,LOOKUP(2,1/($B$2:B53&lt;&gt;0),$B$2:B53),B53)))),""),IF(P53,CONCATENATE("_grp_",P53),""),"/","c_pad_",RIGHT(IF(B53=0,LOOKUP(2,1/($B$2:B53&lt;&gt;0),$B$2:B53),B53),LEN(IF(B53=0,LOOKUP(2,1/($B$2:B53&lt;&gt;0),$B$2:B53),B53))-FIND(".",IF(B53=0,LOOKUP(2,1/($B$2:B53&lt;&gt;0),$B$2:B53),B53))),"_",IF(ISNUMBER(SEARCH("[",D53)),LEFT(D53,FIND("[",D53)-1),D53)),"")</f>
        <v/>
      </c>
      <c r="P53" s="90" t="n"/>
      <c r="Q53" s="83" t="inlineStr">
        <is>
          <t>ADC输入通道选择，0000:channel 0 0001:channel 1    1011:channel 11</t>
        </is>
      </c>
      <c r="R53" s="83" t="inlineStr">
        <is>
          <t>0x0006</t>
        </is>
      </c>
      <c r="S53" s="83" t="inlineStr">
        <is>
          <t>[3:0]</t>
        </is>
      </c>
      <c r="T53" s="93" t="n"/>
    </row>
    <row r="54">
      <c r="A54" s="72" t="inlineStr">
        <is>
          <t>adc_model.adc_inst</t>
        </is>
      </c>
      <c r="B54" s="133" t="n"/>
      <c r="C54" s="83" t="inlineStr">
        <is>
          <t>core_pd.core_pd_inst</t>
        </is>
      </c>
      <c r="D54" s="83" t="inlineStr">
        <is>
          <t>LI_ADC_SAMPT</t>
        </is>
      </c>
      <c r="E54" s="83">
        <f>IF(AND(ISNUMBER(FIND("[",D54)),ISNUMBER(FIND("]",D54)),ISNUMBER(FIND(":",D54))),MID(D54,FIND("[",D54)+1,FIND(":",D54)-FIND("[",D54)-1)+1-MID(D54,FIND(":",D54)+1,FIND("]",D54)-FIND(":",D54)-1),IF(OR(ISNUMBER(FIND("[",D54)),ISNUMBER(FIND("]",D54)),ISNUMBER(FIND(":",D54))),"ERROR",1))</f>
        <v/>
      </c>
      <c r="F54" s="98" t="inlineStr">
        <is>
          <t>I</t>
        </is>
      </c>
      <c r="G54" s="93" t="n"/>
      <c r="H54" s="93" t="inlineStr">
        <is>
          <t>b0</t>
        </is>
      </c>
      <c r="I54" s="93" t="inlineStr">
        <is>
          <t>YES</t>
        </is>
      </c>
      <c r="J54" s="88" t="n"/>
      <c r="K54" s="88" t="n"/>
      <c r="L54" s="88" t="n"/>
      <c r="M54" s="89">
        <f>H54</f>
        <v/>
      </c>
      <c r="N54" s="88" t="n"/>
      <c r="O54" s="88">
        <f>IF(AND(OR(EXACT(F54,"I"),EXACT(F54,"O")),NOT(EXACT(P54,"NA"))),CONCATENATE("c_reg_test_sel_",RIGHT(IF(B54=0,LOOKUP(2,1/($B$2:B54&lt;&gt;0),$B$2:B54),B54),LEN(IF(B54=0,LOOKUP(2,1/($B$2:B54&lt;&gt;0),$B$2:B54),B54))-FIND(".",IF(B54=0,LOOKUP(2,1/($B$2:B54&lt;&gt;0),$B$2:B54),B54))),IF(0,CONCATENATE("&amp; !c_test_reg_pin_disable_",RIGHT(IF(B54=0,LOOKUP(2,1/($B$2:B54&lt;&gt;0),$B$2:B54),B54),LEN(IF(B54=0,LOOKUP(2,1/($B$2:B54&lt;&gt;0),$B$2:B54),B54))-FIND(".",IF(B54=0,LOOKUP(2,1/($B$2:B54&lt;&gt;0),$B$2:B54),B54)))),""),IF(P54,CONCATENATE("_grp_",P54),""),"/","c_pad_",RIGHT(IF(B54=0,LOOKUP(2,1/($B$2:B54&lt;&gt;0),$B$2:B54),B54),LEN(IF(B54=0,LOOKUP(2,1/($B$2:B54&lt;&gt;0),$B$2:B54),B54))-FIND(".",IF(B54=0,LOOKUP(2,1/($B$2:B54&lt;&gt;0),$B$2:B54),B54))),"_",IF(ISNUMBER(SEARCH("[",D54)),LEFT(D54,FIND("[",D54)-1),D54)),"")</f>
        <v/>
      </c>
      <c r="P54" s="90" t="n"/>
      <c r="Q54" s="83" t="inlineStr">
        <is>
          <t>ADC 采样时间选择，0 4clk 1 8clk</t>
        </is>
      </c>
      <c r="R54" s="83" t="inlineStr">
        <is>
          <t>0x0008</t>
        </is>
      </c>
      <c r="S54" s="83" t="inlineStr">
        <is>
          <t>[0]</t>
        </is>
      </c>
      <c r="T54" s="93" t="n"/>
    </row>
    <row r="55">
      <c r="A55" s="72" t="inlineStr">
        <is>
          <t>adc_model.adc_inst</t>
        </is>
      </c>
      <c r="B55" s="133" t="n"/>
      <c r="C55" s="83" t="inlineStr">
        <is>
          <t>core_pd.core_pd_inst</t>
        </is>
      </c>
      <c r="D55" s="83" t="inlineStr">
        <is>
          <t>LI_ADC_VREFSEL[1:0]</t>
        </is>
      </c>
      <c r="E55" s="83">
        <f>IF(AND(ISNUMBER(FIND("[",D55)),ISNUMBER(FIND("]",D55)),ISNUMBER(FIND(":",D55))),MID(D55,FIND("[",D55)+1,FIND(":",D55)-FIND("[",D55)-1)+1-MID(D55,FIND(":",D55)+1,FIND("]",D55)-FIND(":",D55)-1),IF(OR(ISNUMBER(FIND("[",D55)),ISNUMBER(FIND("]",D55)),ISNUMBER(FIND(":",D55))),"ERROR",1))</f>
        <v/>
      </c>
      <c r="F55" s="98" t="inlineStr">
        <is>
          <t>I</t>
        </is>
      </c>
      <c r="G55" s="93" t="n"/>
      <c r="H55" s="93" t="inlineStr">
        <is>
          <t>b11</t>
        </is>
      </c>
      <c r="I55" s="93" t="inlineStr">
        <is>
          <t>YES</t>
        </is>
      </c>
      <c r="J55" s="88" t="n"/>
      <c r="K55" s="88" t="n"/>
      <c r="L55" s="88" t="n"/>
      <c r="M55" s="89">
        <f>H55</f>
        <v/>
      </c>
      <c r="N55" s="88" t="n"/>
      <c r="O55" s="88">
        <f>IF(AND(OR(EXACT(F55,"I"),EXACT(F55,"O")),NOT(EXACT(P55,"NA"))),CONCATENATE("c_reg_test_sel_",RIGHT(IF(B55=0,LOOKUP(2,1/($B$2:B55&lt;&gt;0),$B$2:B55),B55),LEN(IF(B55=0,LOOKUP(2,1/($B$2:B55&lt;&gt;0),$B$2:B55),B55))-FIND(".",IF(B55=0,LOOKUP(2,1/($B$2:B55&lt;&gt;0),$B$2:B55),B55))),IF(0,CONCATENATE("&amp; !c_test_reg_pin_disable_",RIGHT(IF(B55=0,LOOKUP(2,1/($B$2:B55&lt;&gt;0),$B$2:B55),B55),LEN(IF(B55=0,LOOKUP(2,1/($B$2:B55&lt;&gt;0),$B$2:B55),B55))-FIND(".",IF(B55=0,LOOKUP(2,1/($B$2:B55&lt;&gt;0),$B$2:B55),B55)))),""),IF(P55,CONCATENATE("_grp_",P55),""),"/","c_pad_",RIGHT(IF(B55=0,LOOKUP(2,1/($B$2:B55&lt;&gt;0),$B$2:B55),B55),LEN(IF(B55=0,LOOKUP(2,1/($B$2:B55&lt;&gt;0),$B$2:B55),B55))-FIND(".",IF(B55=0,LOOKUP(2,1/($B$2:B55&lt;&gt;0),$B$2:B55),B55))),"_",IF(ISNUMBER(SEARCH("[",D55)),LEFT(D55,FIND("[",D55)-1),D55)),"")</f>
        <v/>
      </c>
      <c r="P55" s="90" t="n"/>
      <c r="Q55" s="83" t="inlineStr">
        <is>
          <t>ADC 参考电压选择 00 2.4V内部参考 01 VDDA 10 11外部参考</t>
        </is>
      </c>
      <c r="R55" s="83" t="inlineStr">
        <is>
          <t>0x0009</t>
        </is>
      </c>
      <c r="S55" s="83" t="inlineStr">
        <is>
          <t>[1:0]</t>
        </is>
      </c>
      <c r="T55" s="93" t="n"/>
    </row>
    <row r="56">
      <c r="A56" s="72" t="inlineStr">
        <is>
          <t>adc_model.adc_inst</t>
        </is>
      </c>
      <c r="B56" s="134" t="n"/>
      <c r="C56" s="83" t="inlineStr">
        <is>
          <t>core_pd.core_pd_inst</t>
        </is>
      </c>
      <c r="D56" s="83" t="inlineStr">
        <is>
          <t>LI_ADC_VREFTRIM[3:0]</t>
        </is>
      </c>
      <c r="E56" s="83">
        <f>IF(AND(ISNUMBER(FIND("[",D56)),ISNUMBER(FIND("]",D56)),ISNUMBER(FIND(":",D56))),MID(D56,FIND("[",D56)+1,FIND(":",D56)-FIND("[",D56)-1)+1-MID(D56,FIND(":",D56)+1,FIND("]",D56)-FIND(":",D56)-1),IF(OR(ISNUMBER(FIND("[",D56)),ISNUMBER(FIND("]",D56)),ISNUMBER(FIND(":",D56))),"ERROR",1))</f>
        <v/>
      </c>
      <c r="F56" s="98" t="inlineStr">
        <is>
          <t>I</t>
        </is>
      </c>
      <c r="G56" s="93" t="n"/>
      <c r="H56" s="93" t="inlineStr">
        <is>
          <t>b1000</t>
        </is>
      </c>
      <c r="I56" s="93" t="inlineStr">
        <is>
          <t>YES</t>
        </is>
      </c>
      <c r="J56" s="88" t="n"/>
      <c r="K56" s="88" t="n"/>
      <c r="L56" s="88" t="n"/>
      <c r="M56" s="89">
        <f>H56</f>
        <v/>
      </c>
      <c r="N56" s="88" t="n"/>
      <c r="O56" s="88">
        <f>IF(AND(OR(EXACT(F56,"I"),EXACT(F56,"O")),NOT(EXACT(P56,"NA"))),CONCATENATE("c_reg_test_sel_",RIGHT(IF(B56=0,LOOKUP(2,1/($B$2:B56&lt;&gt;0),$B$2:B56),B56),LEN(IF(B56=0,LOOKUP(2,1/($B$2:B56&lt;&gt;0),$B$2:B56),B56))-FIND(".",IF(B56=0,LOOKUP(2,1/($B$2:B56&lt;&gt;0),$B$2:B56),B56))),IF(0,CONCATENATE("&amp; !c_test_reg_pin_disable_",RIGHT(IF(B56=0,LOOKUP(2,1/($B$2:B56&lt;&gt;0),$B$2:B56),B56),LEN(IF(B56=0,LOOKUP(2,1/($B$2:B56&lt;&gt;0),$B$2:B56),B56))-FIND(".",IF(B56=0,LOOKUP(2,1/($B$2:B56&lt;&gt;0),$B$2:B56),B56)))),""),IF(P56,CONCATENATE("_grp_",P56),""),"/","c_pad_",RIGHT(IF(B56=0,LOOKUP(2,1/($B$2:B56&lt;&gt;0),$B$2:B56),B56),LEN(IF(B56=0,LOOKUP(2,1/($B$2:B56&lt;&gt;0),$B$2:B56),B56))-FIND(".",IF(B56=0,LOOKUP(2,1/($B$2:B56&lt;&gt;0),$B$2:B56),B56))),"_",IF(ISNUMBER(SEARCH("[",D56)),LEFT(D56,FIND("[",D56)-1),D56)),"")</f>
        <v/>
      </c>
      <c r="P56" s="90" t="n"/>
      <c r="Q56" s="83" t="inlineStr">
        <is>
          <t>ADC 2.4V参考电压 trim  10mV/stetp</t>
        </is>
      </c>
      <c r="R56" s="83" t="inlineStr">
        <is>
          <t>0x0007</t>
        </is>
      </c>
      <c r="S56" s="83" t="inlineStr">
        <is>
          <t>[3:0]</t>
        </is>
      </c>
      <c r="T56" s="93" t="n"/>
    </row>
    <row r="57" hidden="1" ht="28.95" customHeight="1" s="26">
      <c r="A57" s="72" t="inlineStr">
        <is>
          <t>osc32m_model.osc32m_inst</t>
        </is>
      </c>
      <c r="B57" s="93" t="inlineStr">
        <is>
          <t>osc32m_model.osc32m_inst</t>
        </is>
      </c>
      <c r="C57" s="83" t="inlineStr">
        <is>
          <t>TOP:VCC5V</t>
        </is>
      </c>
      <c r="D57" s="83" t="inlineStr">
        <is>
          <t>vddh</t>
        </is>
      </c>
      <c r="E57" s="83">
        <f>IF(AND(ISNUMBER(FIND("[",D57)),ISNUMBER(FIND("]",D57)),ISNUMBER(FIND(":",D57))),MID(D57,FIND("[",D57)+1,FIND(":",D57)-FIND("[",D57)-1)+1-MID(D57,FIND(":",D57)+1,FIND("]",D57)-FIND(":",D57)-1),IF(OR(ISNUMBER(FIND("[",D57)),ISNUMBER(FIND("]",D57)),ISNUMBER(FIND(":",D57))),"ERROR",1))</f>
        <v/>
      </c>
      <c r="F57" s="98" t="inlineStr">
        <is>
          <t>P</t>
        </is>
      </c>
      <c r="G57" s="93" t="inlineStr">
        <is>
          <t>5V</t>
        </is>
      </c>
      <c r="H57" s="83" t="n"/>
      <c r="I57" s="102" t="n"/>
      <c r="Q57" s="102" t="n"/>
      <c r="R57" s="83" t="n"/>
      <c r="S57" s="83" t="n"/>
      <c r="T57" s="83" t="n"/>
    </row>
    <row r="58" hidden="1" ht="28.95" customHeight="1" s="26">
      <c r="A58" s="72" t="inlineStr">
        <is>
          <t>osc32m_model.osc32m_inst</t>
        </is>
      </c>
      <c r="B58" s="133" t="n"/>
      <c r="C58" s="83" t="inlineStr">
        <is>
          <t>TOP:pmu_inst_V12M_clk</t>
        </is>
      </c>
      <c r="D58" s="83" t="inlineStr">
        <is>
          <t>vdd</t>
        </is>
      </c>
      <c r="E58" s="83">
        <f>IF(AND(ISNUMBER(FIND("[",D59)),ISNUMBER(FIND("]",D59)),ISNUMBER(FIND(":",D59))),MID(D59,FIND("[",D59)+1,FIND(":",D59)-FIND("[",D59)-1)+1-MID(D59,FIND(":",D59)+1,FIND("]",D59)-FIND(":",D59)-1),IF(OR(ISNUMBER(FIND("[",D59)),ISNUMBER(FIND("]",D59)),ISNUMBER(FIND(":",D59))),"ERROR",1))</f>
        <v/>
      </c>
      <c r="F58" s="98" t="inlineStr">
        <is>
          <t>P</t>
        </is>
      </c>
      <c r="G58" s="93" t="inlineStr">
        <is>
          <t>1.5V</t>
        </is>
      </c>
      <c r="H58" s="83" t="n"/>
      <c r="I58" s="83" t="n"/>
      <c r="Q58" s="83" t="inlineStr">
        <is>
          <t>1.5V core power</t>
        </is>
      </c>
      <c r="R58" s="83" t="n"/>
      <c r="S58" s="83" t="n"/>
      <c r="T58" s="83" t="n"/>
    </row>
    <row r="59" hidden="1" ht="28.95" customHeight="1" s="26">
      <c r="A59" s="72" t="inlineStr">
        <is>
          <t>osc32m_model.osc32m_inst</t>
        </is>
      </c>
      <c r="B59" s="133" t="n"/>
      <c r="C59" s="83" t="inlineStr">
        <is>
          <t>TOP:pmu_inst_V12_AON</t>
        </is>
      </c>
      <c r="D59" s="83" t="inlineStr">
        <is>
          <t>vddao</t>
        </is>
      </c>
      <c r="E59" s="83">
        <f>IF(AND(ISNUMBER(FIND("[",D58)),ISNUMBER(FIND("]",D58)),ISNUMBER(FIND(":",D58))),MID(D58,FIND("[",D58)+1,FIND(":",D58)-FIND("[",D58)-1)+1-MID(D58,FIND(":",D58)+1,FIND("]",D58)-FIND(":",D58)-1),IF(OR(ISNUMBER(FIND("[",D58)),ISNUMBER(FIND("]",D58)),ISNUMBER(FIND(":",D58))),"ERROR",1))</f>
        <v/>
      </c>
      <c r="F59" s="98" t="inlineStr">
        <is>
          <t>P</t>
        </is>
      </c>
      <c r="G59" s="93" t="inlineStr">
        <is>
          <t>1.5V</t>
        </is>
      </c>
      <c r="H59" s="83" t="n"/>
      <c r="I59" s="83" t="n"/>
      <c r="Q59" s="83" t="inlineStr">
        <is>
          <t xml:space="preserve">1.5V </t>
        </is>
      </c>
      <c r="R59" s="83" t="n"/>
      <c r="S59" s="83" t="n"/>
      <c r="T59" s="83" t="n"/>
    </row>
    <row r="60" hidden="1" ht="28.95" customHeight="1" s="26">
      <c r="A60" s="72" t="inlineStr">
        <is>
          <t>osc32m_model.osc32m_inst</t>
        </is>
      </c>
      <c r="B60" s="133" t="n"/>
      <c r="C60" s="83" t="inlineStr">
        <is>
          <t>TOP:VSSA</t>
        </is>
      </c>
      <c r="D60" s="83" t="inlineStr">
        <is>
          <t>vss</t>
        </is>
      </c>
      <c r="E60" s="83">
        <f>IF(AND(ISNUMBER(FIND("[",D60)),ISNUMBER(FIND("]",D60)),ISNUMBER(FIND(":",D60))),MID(D60,FIND("[",D60)+1,FIND(":",D60)-FIND("[",D60)-1)+1-MID(D60,FIND(":",D60)+1,FIND("]",D60)-FIND(":",D60)-1),IF(OR(ISNUMBER(FIND("[",D60)),ISNUMBER(FIND("]",D60)),ISNUMBER(FIND(":",D60))),"ERROR",1))</f>
        <v/>
      </c>
      <c r="F60" s="98" t="inlineStr">
        <is>
          <t>G</t>
        </is>
      </c>
      <c r="G60" s="83" t="n"/>
      <c r="H60" s="83" t="n"/>
      <c r="I60" s="83" t="n"/>
      <c r="Q60" s="83" t="n"/>
      <c r="R60" s="83" t="n"/>
      <c r="S60" s="83" t="n"/>
      <c r="T60" s="83" t="n"/>
    </row>
    <row r="61" hidden="1" ht="28.95" customHeight="1" s="26">
      <c r="A61" s="72" t="inlineStr">
        <is>
          <t>osc32m_model.osc32m_inst</t>
        </is>
      </c>
      <c r="B61" s="133" t="n"/>
      <c r="C61" s="83" t="inlineStr">
        <is>
          <t>TOP:VSSD</t>
        </is>
      </c>
      <c r="D61" s="83" t="inlineStr">
        <is>
          <t>vssd</t>
        </is>
      </c>
      <c r="E61" s="83">
        <f>IF(AND(ISNUMBER(FIND("[",D61)),ISNUMBER(FIND("]",D61)),ISNUMBER(FIND(":",D61))),MID(D61,FIND("[",D61)+1,FIND(":",D61)-FIND("[",D61)-1)+1-MID(D61,FIND(":",D61)+1,FIND("]",D61)-FIND(":",D61)-1),IF(OR(ISNUMBER(FIND("[",D61)),ISNUMBER(FIND("]",D61)),ISNUMBER(FIND(":",D61))),"ERROR",1))</f>
        <v/>
      </c>
      <c r="F61" s="98" t="inlineStr">
        <is>
          <t>G</t>
        </is>
      </c>
      <c r="G61" s="93" t="inlineStr">
        <is>
          <t>1.5V</t>
        </is>
      </c>
      <c r="H61" s="83" t="n"/>
      <c r="I61" s="83" t="n"/>
      <c r="Q61" s="83" t="n"/>
      <c r="R61" s="83" t="n"/>
      <c r="S61" s="83" t="n"/>
      <c r="T61" s="83" t="n"/>
    </row>
    <row r="62" ht="43.2" customHeight="1" s="26">
      <c r="A62" s="72" t="inlineStr">
        <is>
          <t>osc32m_model.osc32m_inst</t>
        </is>
      </c>
      <c r="B62" s="133" t="n"/>
      <c r="C62" s="83" t="inlineStr">
        <is>
          <t>core_pd.core_pd_inst</t>
        </is>
      </c>
      <c r="D62" s="83" t="inlineStr">
        <is>
          <t>EN</t>
        </is>
      </c>
      <c r="E62" s="83">
        <f>IF(AND(ISNUMBER(FIND("[",D62)),ISNUMBER(FIND("]",D62)),ISNUMBER(FIND(":",D62))),MID(D62,FIND("[",D62)+1,FIND(":",D62)-FIND("[",D62)-1)+1-MID(D62,FIND(":",D62)+1,FIND("]",D62)-FIND(":",D62)-1),IF(OR(ISNUMBER(FIND("[",D62)),ISNUMBER(FIND("]",D62)),ISNUMBER(FIND(":",D62))),"ERROR",1))</f>
        <v/>
      </c>
      <c r="F62" s="98" t="inlineStr">
        <is>
          <t>I</t>
        </is>
      </c>
      <c r="G62" s="93" t="inlineStr">
        <is>
          <t>1.5V</t>
        </is>
      </c>
      <c r="H62" s="83" t="inlineStr">
        <is>
          <t>b0</t>
        </is>
      </c>
      <c r="I62" s="93" t="inlineStr">
        <is>
          <t>YES</t>
        </is>
      </c>
      <c r="J62" s="103" t="n"/>
      <c r="K62" s="103" t="n"/>
      <c r="L62" s="103" t="n"/>
      <c r="M62" s="89">
        <f>H62</f>
        <v/>
      </c>
      <c r="N62" s="103" t="n"/>
      <c r="O62" s="88">
        <f>IF(AND(OR(EXACT(F62,"I"),EXACT(F62,"O")),NOT(EXACT(P62,"NA"))),CONCATENATE("c_reg_test_sel_",RIGHT(IF(B62=0,LOOKUP(2,1/($B$2:B62&lt;&gt;0),$B$2:B62),B62),LEN(IF(B62=0,LOOKUP(2,1/($B$2:B62&lt;&gt;0),$B$2:B62),B62))-FIND(".",IF(B62=0,LOOKUP(2,1/($B$2:B62&lt;&gt;0),$B$2:B62),B62))),IF(0,CONCATENATE("&amp; !c_test_reg_pin_disable_",RIGHT(IF(B62=0,LOOKUP(2,1/($B$2:B62&lt;&gt;0),$B$2:B62),B62),LEN(IF(B62=0,LOOKUP(2,1/($B$2:B62&lt;&gt;0),$B$2:B62),B62))-FIND(".",IF(B62=0,LOOKUP(2,1/($B$2:B62&lt;&gt;0),$B$2:B62),B62)))),""),IF(P62,CONCATENATE("_grp_",P62),""),"/","c_pad_",RIGHT(IF(B62=0,LOOKUP(2,1/($B$2:B62&lt;&gt;0),$B$2:B62),B62),LEN(IF(B62=0,LOOKUP(2,1/($B$2:B62&lt;&gt;0),$B$2:B62),B62))-FIND(".",IF(B62=0,LOOKUP(2,1/($B$2:B62&lt;&gt;0),$B$2:B62),B62))),"_",IF(ISNUMBER(SEARCH("[",D62)),LEFT(D62,FIND("[",D62)-1),D62)),"")</f>
        <v/>
      </c>
      <c r="P62" s="126" t="n"/>
      <c r="Q62" s="83" t="inlineStr">
        <is>
          <t>EN=”1”àHRC_OSC enable</t>
        </is>
      </c>
      <c r="R62" s="83" t="inlineStr">
        <is>
          <t>0x0013</t>
        </is>
      </c>
      <c r="S62" s="83" t="inlineStr">
        <is>
          <t>[0]</t>
        </is>
      </c>
      <c r="T62" s="83" t="n"/>
    </row>
    <row r="63" ht="43.2" customHeight="1" s="26">
      <c r="A63" s="72" t="inlineStr">
        <is>
          <t>osc32m_model.osc32m_inst</t>
        </is>
      </c>
      <c r="B63" s="133" t="n"/>
      <c r="C63" s="83" t="inlineStr">
        <is>
          <t>core_pd.core_pd_inst</t>
        </is>
      </c>
      <c r="D63" s="83" t="inlineStr">
        <is>
          <t>CTUNE[5:0]</t>
        </is>
      </c>
      <c r="E63" s="83">
        <f>IF(AND(ISNUMBER(FIND("[",D63)),ISNUMBER(FIND("]",D63)),ISNUMBER(FIND(":",D63))),MID(D63,FIND("[",D63)+1,FIND(":",D63)-FIND("[",D63)-1)+1-MID(D63,FIND(":",D63)+1,FIND("]",D63)-FIND(":",D63)-1),IF(OR(ISNUMBER(FIND("[",D63)),ISNUMBER(FIND("]",D63)),ISNUMBER(FIND(":",D63))),"ERROR",1))</f>
        <v/>
      </c>
      <c r="F63" s="98" t="inlineStr">
        <is>
          <t>I</t>
        </is>
      </c>
      <c r="G63" s="93" t="inlineStr">
        <is>
          <t>1.5V</t>
        </is>
      </c>
      <c r="H63" s="104" t="inlineStr">
        <is>
          <t>b011110</t>
        </is>
      </c>
      <c r="I63" s="93" t="inlineStr">
        <is>
          <t>YES</t>
        </is>
      </c>
      <c r="J63" s="103" t="n"/>
      <c r="K63" s="103" t="n"/>
      <c r="L63" s="103" t="n"/>
      <c r="M63" s="89">
        <f>H63</f>
        <v/>
      </c>
      <c r="N63" s="103" t="n"/>
      <c r="O63" s="88">
        <f>IF(AND(OR(EXACT(F63,"I"),EXACT(F63,"O")),NOT(EXACT(P63,"NA"))),CONCATENATE("c_reg_test_sel_",RIGHT(IF(B63=0,LOOKUP(2,1/($B$2:B63&lt;&gt;0),$B$2:B63),B63),LEN(IF(B63=0,LOOKUP(2,1/($B$2:B63&lt;&gt;0),$B$2:B63),B63))-FIND(".",IF(B63=0,LOOKUP(2,1/($B$2:B63&lt;&gt;0),$B$2:B63),B63))),IF(0,CONCATENATE("&amp; !c_test_reg_pin_disable_",RIGHT(IF(B63=0,LOOKUP(2,1/($B$2:B63&lt;&gt;0),$B$2:B63),B63),LEN(IF(B63=0,LOOKUP(2,1/($B$2:B63&lt;&gt;0),$B$2:B63),B63))-FIND(".",IF(B63=0,LOOKUP(2,1/($B$2:B63&lt;&gt;0),$B$2:B63),B63)))),""),IF(P63,CONCATENATE("_grp_",P63),""),"/","c_pad_",RIGHT(IF(B63=0,LOOKUP(2,1/($B$2:B63&lt;&gt;0),$B$2:B63),B63),LEN(IF(B63=0,LOOKUP(2,1/($B$2:B63&lt;&gt;0),$B$2:B63),B63))-FIND(".",IF(B63=0,LOOKUP(2,1/($B$2:B63&lt;&gt;0),$B$2:B63),B63))),"_",IF(ISNUMBER(SEARCH("[",D63)),LEFT(D63,FIND("[",D63)-1),D63)),"")</f>
        <v/>
      </c>
      <c r="P63" s="126" t="n"/>
      <c r="Q63" s="83" t="inlineStr">
        <is>
          <t>Coarse tuning controlling registers of oscillation frequency Default values are 6’b10_0000  CTUNE[5:0]↑àThe output frequency↑</t>
        </is>
      </c>
      <c r="R63" s="83" t="inlineStr">
        <is>
          <t>0x000C</t>
        </is>
      </c>
      <c r="S63" s="83" t="inlineStr">
        <is>
          <t>[5:0]</t>
        </is>
      </c>
      <c r="T63" s="83" t="n"/>
    </row>
    <row r="64" ht="43.2" customHeight="1" s="26">
      <c r="A64" s="72" t="inlineStr">
        <is>
          <t>osc32m_model.osc32m_inst</t>
        </is>
      </c>
      <c r="B64" s="133" t="n"/>
      <c r="C64" s="83" t="inlineStr">
        <is>
          <t>core_pd.core_pd_inst</t>
        </is>
      </c>
      <c r="D64" s="83" t="inlineStr">
        <is>
          <t>FTUNE[4:0]</t>
        </is>
      </c>
      <c r="E64" s="83">
        <f>IF(AND(ISNUMBER(FIND("[",D64)),ISNUMBER(FIND("]",D64)),ISNUMBER(FIND(":",D64))),MID(D64,FIND("[",D64)+1,FIND(":",D64)-FIND("[",D64)-1)+1-MID(D64,FIND(":",D64)+1,FIND("]",D64)-FIND(":",D64)-1),IF(OR(ISNUMBER(FIND("[",D64)),ISNUMBER(FIND("]",D64)),ISNUMBER(FIND(":",D64))),"ERROR",1))</f>
        <v/>
      </c>
      <c r="F64" s="98" t="inlineStr">
        <is>
          <t>I</t>
        </is>
      </c>
      <c r="G64" s="93" t="inlineStr">
        <is>
          <t>1.5V</t>
        </is>
      </c>
      <c r="H64" s="83" t="inlineStr">
        <is>
          <t>b10000</t>
        </is>
      </c>
      <c r="I64" s="93" t="inlineStr">
        <is>
          <t>YES</t>
        </is>
      </c>
      <c r="J64" s="103" t="n"/>
      <c r="K64" s="103" t="n"/>
      <c r="L64" s="103" t="n"/>
      <c r="M64" s="89">
        <f>H64</f>
        <v/>
      </c>
      <c r="N64" s="103" t="n"/>
      <c r="O64" s="88">
        <f>IF(AND(OR(EXACT(F64,"I"),EXACT(F64,"O")),NOT(EXACT(P64,"NA"))),CONCATENATE("c_reg_test_sel_",RIGHT(IF(B64=0,LOOKUP(2,1/($B$2:B64&lt;&gt;0),$B$2:B64),B64),LEN(IF(B64=0,LOOKUP(2,1/($B$2:B64&lt;&gt;0),$B$2:B64),B64))-FIND(".",IF(B64=0,LOOKUP(2,1/($B$2:B64&lt;&gt;0),$B$2:B64),B64))),IF(0,CONCATENATE("&amp; !c_test_reg_pin_disable_",RIGHT(IF(B64=0,LOOKUP(2,1/($B$2:B64&lt;&gt;0),$B$2:B64),B64),LEN(IF(B64=0,LOOKUP(2,1/($B$2:B64&lt;&gt;0),$B$2:B64),B64))-FIND(".",IF(B64=0,LOOKUP(2,1/($B$2:B64&lt;&gt;0),$B$2:B64),B64)))),""),IF(P64,CONCATENATE("_grp_",P64),""),"/","c_pad_",RIGHT(IF(B64=0,LOOKUP(2,1/($B$2:B64&lt;&gt;0),$B$2:B64),B64),LEN(IF(B64=0,LOOKUP(2,1/($B$2:B64&lt;&gt;0),$B$2:B64),B64))-FIND(".",IF(B64=0,LOOKUP(2,1/($B$2:B64&lt;&gt;0),$B$2:B64),B64))),"_",IF(ISNUMBER(SEARCH("[",D64)),LEFT(D64,FIND("[",D64)-1),D64)),"")</f>
        <v/>
      </c>
      <c r="P64" s="126" t="n"/>
      <c r="Q64" s="83" t="inlineStr">
        <is>
          <t>Fine tuning controlling registers of oscillation frequency Default values are 5’b1_0000  FTUNE[4:0]↑ àThe output frequency↑</t>
        </is>
      </c>
      <c r="R64" s="83" t="inlineStr">
        <is>
          <t>0x000D</t>
        </is>
      </c>
      <c r="S64" s="83" t="inlineStr">
        <is>
          <t>[4:0]</t>
        </is>
      </c>
      <c r="T64" s="83" t="n"/>
    </row>
    <row r="65" ht="43.2" customHeight="1" s="26">
      <c r="A65" s="72" t="inlineStr">
        <is>
          <t>osc32m_model.osc32m_inst</t>
        </is>
      </c>
      <c r="B65" s="133" t="n"/>
      <c r="C65" s="83" t="inlineStr">
        <is>
          <t>core_pd.core_pd_inst</t>
        </is>
      </c>
      <c r="D65" s="83" t="inlineStr">
        <is>
          <t>REG_IOP_SEL[1:0]</t>
        </is>
      </c>
      <c r="E65" s="83">
        <f>IF(AND(ISNUMBER(FIND("[",D65)),ISNUMBER(FIND("]",D65)),ISNUMBER(FIND(":",D65))),MID(D65,FIND("[",D65)+1,FIND(":",D65)-FIND("[",D65)-1)+1-MID(D65,FIND(":",D65)+1,FIND("]",D65)-FIND(":",D65)-1),IF(OR(ISNUMBER(FIND("[",D65)),ISNUMBER(FIND("]",D65)),ISNUMBER(FIND(":",D65))),"ERROR",1))</f>
        <v/>
      </c>
      <c r="F65" s="98" t="inlineStr">
        <is>
          <t>I</t>
        </is>
      </c>
      <c r="G65" s="93" t="inlineStr">
        <is>
          <t>1.5V</t>
        </is>
      </c>
      <c r="H65" s="83" t="inlineStr">
        <is>
          <t>b10</t>
        </is>
      </c>
      <c r="I65" s="93" t="inlineStr">
        <is>
          <t>YES</t>
        </is>
      </c>
      <c r="J65" s="103" t="n"/>
      <c r="K65" s="103" t="n"/>
      <c r="L65" s="103" t="n"/>
      <c r="M65" s="89">
        <f>H65</f>
        <v/>
      </c>
      <c r="N65" s="103" t="n"/>
      <c r="O65" s="88">
        <f>IF(AND(OR(EXACT(F65,"I"),EXACT(F65,"O")),NOT(EXACT(P65,"NA"))),CONCATENATE("c_reg_test_sel_",RIGHT(IF(B65=0,LOOKUP(2,1/($B$2:B65&lt;&gt;0),$B$2:B65),B65),LEN(IF(B65=0,LOOKUP(2,1/($B$2:B65&lt;&gt;0),$B$2:B65),B65))-FIND(".",IF(B65=0,LOOKUP(2,1/($B$2:B65&lt;&gt;0),$B$2:B65),B65))),IF(0,CONCATENATE("&amp; !c_test_reg_pin_disable_",RIGHT(IF(B65=0,LOOKUP(2,1/($B$2:B65&lt;&gt;0),$B$2:B65),B65),LEN(IF(B65=0,LOOKUP(2,1/($B$2:B65&lt;&gt;0),$B$2:B65),B65))-FIND(".",IF(B65=0,LOOKUP(2,1/($B$2:B65&lt;&gt;0),$B$2:B65),B65)))),""),IF(P65,CONCATENATE("_grp_",P65),""),"/","c_pad_",RIGHT(IF(B65=0,LOOKUP(2,1/($B$2:B65&lt;&gt;0),$B$2:B65),B65),LEN(IF(B65=0,LOOKUP(2,1/($B$2:B65&lt;&gt;0),$B$2:B65),B65))-FIND(".",IF(B65=0,LOOKUP(2,1/($B$2:B65&lt;&gt;0),$B$2:B65),B65))),"_",IF(ISNUMBER(SEARCH("[",D65)),LEFT(D65,FIND("[",D65)-1),D65)),"")</f>
        <v/>
      </c>
      <c r="P65" s="126" t="n"/>
      <c r="Q65" s="83" t="inlineStr">
        <is>
          <t>REG_IOP_SEL[1:0]=2b’0024MHz
REG_IOP_SEL[1:0]=2b’1032MHz
REG_IOP_SEL[1:0]=2b’1150MHz</t>
        </is>
      </c>
      <c r="R65" s="83" t="inlineStr">
        <is>
          <t>0x000E</t>
        </is>
      </c>
      <c r="S65" s="83" t="inlineStr">
        <is>
          <t>[1:0]</t>
        </is>
      </c>
      <c r="T65" s="83" t="n"/>
    </row>
    <row r="66" ht="43.2" customHeight="1" s="26">
      <c r="A66" s="72" t="inlineStr">
        <is>
          <t>osc32m_model.osc32m_inst</t>
        </is>
      </c>
      <c r="B66" s="133" t="n"/>
      <c r="C66" s="83" t="inlineStr">
        <is>
          <t>core_pd.core_pd_inst</t>
        </is>
      </c>
      <c r="D66" s="83" t="inlineStr">
        <is>
          <t>Temp[2:0]</t>
        </is>
      </c>
      <c r="E66" s="83">
        <f>IF(AND(ISNUMBER(FIND("[",D66)),ISNUMBER(FIND("]",D66)),ISNUMBER(FIND(":",D66))),MID(D66,FIND("[",D66)+1,FIND(":",D66)-FIND("[",D66)-1)+1-MID(D66,FIND(":",D66)+1,FIND("]",D66)-FIND(":",D66)-1),IF(OR(ISNUMBER(FIND("[",D66)),ISNUMBER(FIND("]",D66)),ISNUMBER(FIND(":",D66))),"ERROR",1))</f>
        <v/>
      </c>
      <c r="F66" s="98" t="inlineStr">
        <is>
          <t>I</t>
        </is>
      </c>
      <c r="G66" s="93" t="inlineStr">
        <is>
          <t>1.5V</t>
        </is>
      </c>
      <c r="H66" s="104" t="inlineStr">
        <is>
          <t>b011</t>
        </is>
      </c>
      <c r="I66" s="93" t="inlineStr">
        <is>
          <t>YES</t>
        </is>
      </c>
      <c r="J66" s="103" t="n"/>
      <c r="K66" s="103" t="n"/>
      <c r="L66" s="103" t="n"/>
      <c r="M66" s="89">
        <f>H66</f>
        <v/>
      </c>
      <c r="N66" s="103" t="n"/>
      <c r="O66" s="88">
        <f>IF(AND(OR(EXACT(F66,"I"),EXACT(F66,"O")),NOT(EXACT(P66,"NA"))),CONCATENATE("c_reg_test_sel_",RIGHT(IF(B66=0,LOOKUP(2,1/($B$2:B66&lt;&gt;0),$B$2:B66),B66),LEN(IF(B66=0,LOOKUP(2,1/($B$2:B66&lt;&gt;0),$B$2:B66),B66))-FIND(".",IF(B66=0,LOOKUP(2,1/($B$2:B66&lt;&gt;0),$B$2:B66),B66))),IF(0,CONCATENATE("&amp; !c_test_reg_pin_disable_",RIGHT(IF(B66=0,LOOKUP(2,1/($B$2:B66&lt;&gt;0),$B$2:B66),B66),LEN(IF(B66=0,LOOKUP(2,1/($B$2:B66&lt;&gt;0),$B$2:B66),B66))-FIND(".",IF(B66=0,LOOKUP(2,1/($B$2:B66&lt;&gt;0),$B$2:B66),B66)))),""),IF(P66,CONCATENATE("_grp_",P66),""),"/","c_pad_",RIGHT(IF(B66=0,LOOKUP(2,1/($B$2:B66&lt;&gt;0),$B$2:B66),B66),LEN(IF(B66=0,LOOKUP(2,1/($B$2:B66&lt;&gt;0),$B$2:B66),B66))-FIND(".",IF(B66=0,LOOKUP(2,1/($B$2:B66&lt;&gt;0),$B$2:B66),B66))),"_",IF(ISNUMBER(SEARCH("[",D66)),LEFT(D66,FIND("[",D66)-1),D66)),"")</f>
        <v/>
      </c>
      <c r="P66" s="126" t="n"/>
      <c r="Q66" s="83" t="inlineStr">
        <is>
          <t>Trimming for temperature</t>
        </is>
      </c>
      <c r="R66" s="83" t="inlineStr">
        <is>
          <t>0x000F</t>
        </is>
      </c>
      <c r="S66" s="83" t="inlineStr">
        <is>
          <t>[2:0]</t>
        </is>
      </c>
      <c r="T66" s="83" t="n"/>
    </row>
    <row r="67" ht="43.2" customHeight="1" s="26">
      <c r="A67" s="72" t="inlineStr">
        <is>
          <t>osc32m_model.osc32m_inst</t>
        </is>
      </c>
      <c r="B67" s="133" t="n"/>
      <c r="C67" s="83" t="inlineStr">
        <is>
          <t>core_pd.core_pd_inst</t>
        </is>
      </c>
      <c r="D67" s="83" t="inlineStr">
        <is>
          <t>HRC_OK_MUX[3:0]</t>
        </is>
      </c>
      <c r="E67" s="83">
        <f>IF(AND(ISNUMBER(FIND("[",D67)),ISNUMBER(FIND("]",D67)),ISNUMBER(FIND(":",D67))),MID(D67,FIND("[",D67)+1,FIND(":",D67)-FIND("[",D67)-1)+1-MID(D67,FIND(":",D67)+1,FIND("]",D67)-FIND(":",D67)-1),IF(OR(ISNUMBER(FIND("[",D67)),ISNUMBER(FIND("]",D67)),ISNUMBER(FIND(":",D67))),"ERROR",1))</f>
        <v/>
      </c>
      <c r="F67" s="98" t="inlineStr">
        <is>
          <t>I</t>
        </is>
      </c>
      <c r="G67" s="93" t="inlineStr">
        <is>
          <t>1.5V</t>
        </is>
      </c>
      <c r="H67" s="83" t="inlineStr">
        <is>
          <t>b0001</t>
        </is>
      </c>
      <c r="I67" s="93" t="inlineStr">
        <is>
          <t>YES</t>
        </is>
      </c>
      <c r="J67" s="103" t="n"/>
      <c r="K67" s="103" t="n"/>
      <c r="L67" s="103" t="n"/>
      <c r="M67" s="89">
        <f>H67</f>
        <v/>
      </c>
      <c r="N67" s="103" t="n"/>
      <c r="O67" s="88">
        <f>IF(AND(OR(EXACT(F67,"I"),EXACT(F67,"O")),NOT(EXACT(P67,"NA"))),CONCATENATE("c_reg_test_sel_",RIGHT(IF(B67=0,LOOKUP(2,1/($B$2:B67&lt;&gt;0),$B$2:B67),B67),LEN(IF(B67=0,LOOKUP(2,1/($B$2:B67&lt;&gt;0),$B$2:B67),B67))-FIND(".",IF(B67=0,LOOKUP(2,1/($B$2:B67&lt;&gt;0),$B$2:B67),B67))),IF(0,CONCATENATE("&amp; !c_test_reg_pin_disable_",RIGHT(IF(B67=0,LOOKUP(2,1/($B$2:B67&lt;&gt;0),$B$2:B67),B67),LEN(IF(B67=0,LOOKUP(2,1/($B$2:B67&lt;&gt;0),$B$2:B67),B67))-FIND(".",IF(B67=0,LOOKUP(2,1/($B$2:B67&lt;&gt;0),$B$2:B67),B67)))),""),IF(P67,CONCATENATE("_grp_",P67),""),"/","c_pad_",RIGHT(IF(B67=0,LOOKUP(2,1/($B$2:B67&lt;&gt;0),$B$2:B67),B67),LEN(IF(B67=0,LOOKUP(2,1/($B$2:B67&lt;&gt;0),$B$2:B67),B67))-FIND(".",IF(B67=0,LOOKUP(2,1/($B$2:B67&lt;&gt;0),$B$2:B67),B67))),"_",IF(ISNUMBER(SEARCH("[",D67)),LEFT(D67,FIND("[",D67)-1),D67)),"")</f>
        <v/>
      </c>
      <c r="P67" s="126" t="n"/>
      <c r="Q67" s="83" t="inlineStr">
        <is>
          <t xml:space="preserve">Choose for OK delay
HRC_OK_MUX[3:0]=4b’000116us
HRC_OK_MUX[3:0]=4b’00108us
HRC_OK_MUX[3:0]=4b’01004us
HRC_OK_MUX[3:0]=4b’10002us
NOTE:  This signal needs to be configurable when the HRC_OSC is not working
</t>
        </is>
      </c>
      <c r="R67" s="83" t="inlineStr">
        <is>
          <t>0x0010</t>
        </is>
      </c>
      <c r="S67" s="83" t="inlineStr">
        <is>
          <t>[3:0]</t>
        </is>
      </c>
      <c r="T67" s="83" t="n"/>
    </row>
    <row r="68" hidden="1" ht="28.2" customHeight="1" s="26">
      <c r="A68" s="72" t="inlineStr">
        <is>
          <t>osc32m_model.osc32m_inst</t>
        </is>
      </c>
      <c r="B68" s="133" t="n"/>
      <c r="C68" s="83" t="inlineStr">
        <is>
          <t>TOP:pmu_inst_Ibias_5u_N</t>
        </is>
      </c>
      <c r="D68" s="83" t="inlineStr">
        <is>
          <t>Ibias_5u</t>
        </is>
      </c>
      <c r="E68" s="83">
        <f>IF(AND(ISNUMBER(FIND("[",D68)),ISNUMBER(FIND("]",D68)),ISNUMBER(FIND(":",D68))),MID(D68,FIND("[",D68)+1,FIND(":",D68)-FIND("[",D68)-1)+1-MID(D68,FIND(":",D68)+1,FIND("]",D68)-FIND(":",D68)-1),IF(OR(ISNUMBER(FIND("[",D68)),ISNUMBER(FIND("]",D68)),ISNUMBER(FIND(":",D68))),"ERROR",1))</f>
        <v/>
      </c>
      <c r="F68" s="98" t="inlineStr">
        <is>
          <t>A</t>
        </is>
      </c>
      <c r="G68" s="83" t="n"/>
      <c r="H68" s="83" t="n"/>
      <c r="I68" s="102" t="n"/>
      <c r="Q68" s="102" t="inlineStr">
        <is>
          <t>5uA form PMU</t>
        </is>
      </c>
      <c r="R68" s="83" t="n"/>
      <c r="S68" s="83" t="n"/>
      <c r="T68" s="83" t="n"/>
    </row>
    <row r="69" hidden="1" ht="22.95" customHeight="1" s="26">
      <c r="A69" s="72" t="inlineStr">
        <is>
          <t>osc32m_model.osc32m_inst</t>
        </is>
      </c>
      <c r="B69" s="133" t="n"/>
      <c r="C69" s="83" t="inlineStr">
        <is>
          <t>TOP:pmu_inst_Iptat_1u[0]</t>
        </is>
      </c>
      <c r="D69" s="83" t="inlineStr">
        <is>
          <t>Ibias_1u</t>
        </is>
      </c>
      <c r="E69" s="83">
        <f>IF(AND(ISNUMBER(FIND("[",D69)),ISNUMBER(FIND("]",D69)),ISNUMBER(FIND(":",D69))),MID(D69,FIND("[",D69)+1,FIND(":",D69)-FIND("[",D69)-1)+1-MID(D69,FIND(":",D69)+1,FIND("]",D69)-FIND(":",D69)-1),IF(OR(ISNUMBER(FIND("[",D69)),ISNUMBER(FIND("]",D69)),ISNUMBER(FIND(":",D69))),"ERROR",1))</f>
        <v/>
      </c>
      <c r="F69" s="98" t="inlineStr">
        <is>
          <t>A</t>
        </is>
      </c>
      <c r="G69" s="83" t="n"/>
      <c r="H69" s="83" t="n"/>
      <c r="I69" s="83" t="n"/>
      <c r="Q69" s="83" t="inlineStr">
        <is>
          <t>1uA ptat current form PMU</t>
        </is>
      </c>
      <c r="R69" s="83" t="n"/>
      <c r="S69" s="83" t="n"/>
      <c r="T69" s="83" t="n"/>
    </row>
    <row r="70" hidden="1" ht="43.2" customHeight="1" s="26">
      <c r="A70" s="72" t="inlineStr">
        <is>
          <t>osc32m_model.osc32m_inst</t>
        </is>
      </c>
      <c r="B70" s="133" t="n"/>
      <c r="C70" s="83" t="inlineStr">
        <is>
          <t>core_pd.core_pd_inst</t>
        </is>
      </c>
      <c r="D70" s="83" t="inlineStr">
        <is>
          <t>OSC_out</t>
        </is>
      </c>
      <c r="E70" s="83">
        <f>IF(AND(ISNUMBER(FIND("[",D70)),ISNUMBER(FIND("]",D70)),ISNUMBER(FIND(":",D70))),MID(D70,FIND("[",D70)+1,FIND(":",D70)-FIND("[",D70)-1)+1-MID(D70,FIND(":",D70)+1,FIND("]",D70)-FIND(":",D70)-1),IF(OR(ISNUMBER(FIND("[",D70)),ISNUMBER(FIND("]",D70)),ISNUMBER(FIND(":",D70))),"ERROR",1))</f>
        <v/>
      </c>
      <c r="F70" s="98" t="inlineStr">
        <is>
          <t>O</t>
        </is>
      </c>
      <c r="G70" s="93" t="inlineStr">
        <is>
          <t>1.5V</t>
        </is>
      </c>
      <c r="H70" s="83" t="n"/>
      <c r="I70" s="83" t="inlineStr">
        <is>
          <t>NO</t>
        </is>
      </c>
      <c r="J70" s="103" t="n"/>
      <c r="K70" s="103" t="n"/>
      <c r="L70" s="103" t="n"/>
      <c r="M70" s="89">
        <f>H70</f>
        <v/>
      </c>
      <c r="N70" s="88" t="inlineStr">
        <is>
          <t>NONE</t>
        </is>
      </c>
      <c r="O70" s="88">
        <f>IF(AND(OR(EXACT(F70,"I"),EXACT(F70,"O")),NOT(EXACT(P70,"NA"))),CONCATENATE("c_reg_test_sel_",RIGHT(IF(B70=0,LOOKUP(2,1/($B$2:B70&lt;&gt;0),$B$2:B70),B70),LEN(IF(B70=0,LOOKUP(2,1/($B$2:B70&lt;&gt;0),$B$2:B70),B70))-FIND(".",IF(B70=0,LOOKUP(2,1/($B$2:B70&lt;&gt;0),$B$2:B70),B70))),IF(0,CONCATENATE("&amp; !c_test_reg_pin_disable_",RIGHT(IF(B70=0,LOOKUP(2,1/($B$2:B70&lt;&gt;0),$B$2:B70),B70),LEN(IF(B70=0,LOOKUP(2,1/($B$2:B70&lt;&gt;0),$B$2:B70),B70))-FIND(".",IF(B70=0,LOOKUP(2,1/($B$2:B70&lt;&gt;0),$B$2:B70),B70)))),""),IF(P70,CONCATENATE("_grp_",P70),""),"/","c_pad_",RIGHT(IF(B70=0,LOOKUP(2,1/($B$2:B70&lt;&gt;0),$B$2:B70),B70),LEN(IF(B70=0,LOOKUP(2,1/($B$2:B70&lt;&gt;0),$B$2:B70),B70))-FIND(".",IF(B70=0,LOOKUP(2,1/($B$2:B70&lt;&gt;0),$B$2:B70),B70))),"_",IF(ISNUMBER(SEARCH("[",D70)),LEFT(D70,FIND("[",D70)-1),D70)),"")</f>
        <v/>
      </c>
      <c r="P70" s="126" t="n"/>
      <c r="Q70" s="83" t="inlineStr">
        <is>
          <t>24MHz/32MHz/50MHz</t>
        </is>
      </c>
      <c r="R70" s="83" t="n"/>
      <c r="S70" s="83" t="n"/>
      <c r="T70" s="83" t="n"/>
    </row>
    <row r="71" hidden="1" ht="98.40000000000001" customHeight="1" s="26">
      <c r="A71" s="72" t="inlineStr">
        <is>
          <t>osc32m_model.osc32m_inst</t>
        </is>
      </c>
      <c r="B71" s="134" t="n"/>
      <c r="C71" s="83" t="inlineStr">
        <is>
          <t>core_pd.core_pd_inst</t>
        </is>
      </c>
      <c r="D71" s="83" t="inlineStr">
        <is>
          <t>HRC_OK_LV</t>
        </is>
      </c>
      <c r="E71" s="83">
        <f>IF(AND(ISNUMBER(FIND("[",D71)),ISNUMBER(FIND("]",D71)),ISNUMBER(FIND(":",D71))),MID(D71,FIND("[",D71)+1,FIND(":",D71)-FIND("[",D71)-1)+1-MID(D71,FIND(":",D71)+1,FIND("]",D71)-FIND(":",D71)-1),IF(OR(ISNUMBER(FIND("[",D71)),ISNUMBER(FIND("]",D71)),ISNUMBER(FIND(":",D71))),"ERROR",1))</f>
        <v/>
      </c>
      <c r="F71" s="98" t="inlineStr">
        <is>
          <t>O</t>
        </is>
      </c>
      <c r="G71" s="93" t="inlineStr">
        <is>
          <t>1.5V</t>
        </is>
      </c>
      <c r="H71" s="83" t="n"/>
      <c r="I71" s="83" t="inlineStr">
        <is>
          <t>YES</t>
        </is>
      </c>
      <c r="J71" s="103" t="n"/>
      <c r="K71" s="103" t="n"/>
      <c r="L71" s="103" t="n"/>
      <c r="M71" s="89">
        <f>H71</f>
        <v/>
      </c>
      <c r="N71" s="103" t="n"/>
      <c r="O71" s="88">
        <f>IF(AND(OR(EXACT(F71,"I"),EXACT(F71,"O")),NOT(EXACT(P71,"NA"))),CONCATENATE("c_reg_test_sel_",RIGHT(IF(B71=0,LOOKUP(2,1/($B$2:B71&lt;&gt;0),$B$2:B71),B71),LEN(IF(B71=0,LOOKUP(2,1/($B$2:B71&lt;&gt;0),$B$2:B71),B71))-FIND(".",IF(B71=0,LOOKUP(2,1/($B$2:B71&lt;&gt;0),$B$2:B71),B71))),IF(0,CONCATENATE("&amp; !c_test_reg_pin_disable_",RIGHT(IF(B71=0,LOOKUP(2,1/($B$2:B71&lt;&gt;0),$B$2:B71),B71),LEN(IF(B71=0,LOOKUP(2,1/($B$2:B71&lt;&gt;0),$B$2:B71),B71))-FIND(".",IF(B71=0,LOOKUP(2,1/($B$2:B71&lt;&gt;0),$B$2:B71),B71)))),""),IF(P71,CONCATENATE("_grp_",P71),""),"/","c_pad_",RIGHT(IF(B71=0,LOOKUP(2,1/($B$2:B71&lt;&gt;0),$B$2:B71),B71),LEN(IF(B71=0,LOOKUP(2,1/($B$2:B71&lt;&gt;0),$B$2:B71),B71))-FIND(".",IF(B71=0,LOOKUP(2,1/($B$2:B71&lt;&gt;0),$B$2:B71),B71))),"_",IF(ISNUMBER(SEARCH("[",D71)),LEFT(D71,FIND("[",D71)-1),D71)),"")</f>
        <v/>
      </c>
      <c r="P71" s="126" t="n"/>
      <c r="Q71" s="83" t="inlineStr">
        <is>
          <t>stable signal of OSC</t>
        </is>
      </c>
      <c r="R71" s="91" t="inlineStr">
        <is>
          <t>0x0012</t>
        </is>
      </c>
      <c r="S71" s="83" t="n"/>
      <c r="T71" s="83" t="n"/>
    </row>
    <row r="72" hidden="1" ht="47.25" customHeight="1" s="26">
      <c r="A72" s="72" t="inlineStr">
        <is>
          <t>pll_model.pll_inst</t>
        </is>
      </c>
      <c r="B72" s="83" t="inlineStr">
        <is>
          <t>pll_model.pll_inst</t>
        </is>
      </c>
      <c r="C72" s="83" t="inlineStr">
        <is>
          <t>TOP:VCC5V</t>
        </is>
      </c>
      <c r="D72" s="83" t="inlineStr">
        <is>
          <t>VCC</t>
        </is>
      </c>
      <c r="E72" s="83">
        <f>IF(AND(ISNUMBER(FIND("[",D72)),ISNUMBER(FIND("]",D72)),ISNUMBER(FIND(":",D72))),MID(D72,FIND("[",D72)+1,FIND(":",D72)-FIND("[",D72)-1)+1-MID(D72,FIND(":",D72)+1,FIND("]",D72)-FIND(":",D72)-1),IF(OR(ISNUMBER(FIND("[",D72)),ISNUMBER(FIND("]",D72)),ISNUMBER(FIND(":",D72))),"ERROR",1))</f>
        <v/>
      </c>
      <c r="F72" s="98" t="inlineStr">
        <is>
          <t>P</t>
        </is>
      </c>
      <c r="G72" s="93" t="inlineStr">
        <is>
          <t>5V</t>
        </is>
      </c>
      <c r="H72" s="93" t="n"/>
      <c r="I72" s="99" t="n"/>
      <c r="M72" s="72" t="n"/>
      <c r="P72" s="72" t="n"/>
      <c r="Q72" s="102" t="inlineStr">
        <is>
          <t xml:space="preserve">5V power supply of PLL, the power range is from 1.80V to 
5.50V 
</t>
        </is>
      </c>
      <c r="R72" s="83" t="n"/>
      <c r="S72" s="83" t="n"/>
      <c r="T72" s="83" t="n"/>
    </row>
    <row r="73" hidden="1" s="26">
      <c r="A73" s="72" t="inlineStr">
        <is>
          <t>pll_model.pll_inst</t>
        </is>
      </c>
      <c r="B73" s="133" t="n"/>
      <c r="C73" s="83" t="inlineStr">
        <is>
          <t>TOP:pmu_inst_V12M_clk</t>
        </is>
      </c>
      <c r="D73" s="83" t="inlineStr">
        <is>
          <t>vddd</t>
        </is>
      </c>
      <c r="E73" s="83">
        <f>IF(AND(ISNUMBER(FIND("[",D73)),ISNUMBER(FIND("]",D73)),ISNUMBER(FIND(":",D73))),MID(D73,FIND("[",D73)+1,FIND(":",D73)-FIND("[",D73)-1)+1-MID(D73,FIND(":",D73)+1,FIND("]",D73)-FIND(":",D73)-1),IF(OR(ISNUMBER(FIND("[",D73)),ISNUMBER(FIND("]",D73)),ISNUMBER(FIND(":",D73))),"ERROR",1))</f>
        <v/>
      </c>
      <c r="F73" s="98" t="inlineStr">
        <is>
          <t>P</t>
        </is>
      </c>
      <c r="G73" s="93" t="inlineStr">
        <is>
          <t>1.5V</t>
        </is>
      </c>
      <c r="H73" s="93" t="n"/>
      <c r="I73" s="93" t="n"/>
      <c r="M73" s="72" t="n"/>
      <c r="P73" s="72" t="n"/>
      <c r="Q73" s="105" t="inlineStr">
        <is>
          <t xml:space="preserve">Digital powersupply for PLL </t>
        </is>
      </c>
      <c r="R73" s="83" t="n"/>
      <c r="S73" s="83" t="n"/>
      <c r="T73" s="83" t="n"/>
    </row>
    <row r="74" hidden="1" s="26">
      <c r="A74" s="72" t="inlineStr">
        <is>
          <t>pll_model.pll_inst</t>
        </is>
      </c>
      <c r="B74" s="133" t="n"/>
      <c r="C74" s="83" t="inlineStr">
        <is>
          <t>TOP:VSSA</t>
        </is>
      </c>
      <c r="D74" s="83" t="inlineStr">
        <is>
          <t>vss</t>
        </is>
      </c>
      <c r="E74" s="83">
        <f>IF(AND(ISNUMBER(FIND("[",D74)),ISNUMBER(FIND("]",D74)),ISNUMBER(FIND(":",D74))),MID(D74,FIND("[",D74)+1,FIND(":",D74)-FIND("[",D74)-1)+1-MID(D74,FIND(":",D74)+1,FIND("]",D74)-FIND(":",D74)-1),IF(OR(ISNUMBER(FIND("[",D74)),ISNUMBER(FIND("]",D74)),ISNUMBER(FIND(":",D74))),"ERROR",1))</f>
        <v/>
      </c>
      <c r="F74" s="98" t="inlineStr">
        <is>
          <t>G</t>
        </is>
      </c>
      <c r="G74" s="83" t="inlineStr">
        <is>
          <t>5V</t>
        </is>
      </c>
      <c r="H74" s="93" t="n"/>
      <c r="I74" s="93" t="n"/>
      <c r="M74" s="72" t="n"/>
      <c r="P74" s="72" t="n"/>
      <c r="Q74" s="105" t="inlineStr">
        <is>
          <t>Analog ground for PLL</t>
        </is>
      </c>
      <c r="R74" s="83" t="n"/>
      <c r="S74" s="83" t="n"/>
      <c r="T74" s="83" t="n"/>
    </row>
    <row r="75" hidden="1" s="26">
      <c r="A75" s="72" t="inlineStr">
        <is>
          <t>pll_model.pll_inst</t>
        </is>
      </c>
      <c r="B75" s="133" t="n"/>
      <c r="C75" s="83" t="inlineStr">
        <is>
          <t>TOP:VSSD</t>
        </is>
      </c>
      <c r="D75" s="83" t="inlineStr">
        <is>
          <t>vssd</t>
        </is>
      </c>
      <c r="E75" s="83">
        <f>IF(AND(ISNUMBER(FIND("[",D75)),ISNUMBER(FIND("]",D75)),ISNUMBER(FIND(":",D75))),MID(D75,FIND("[",D75)+1,FIND(":",D75)-FIND("[",D75)-1)+1-MID(D75,FIND(":",D75)+1,FIND("]",D75)-FIND(":",D75)-1),IF(OR(ISNUMBER(FIND("[",D75)),ISNUMBER(FIND("]",D75)),ISNUMBER(FIND(":",D75))),"ERROR",1))</f>
        <v/>
      </c>
      <c r="F75" s="98" t="inlineStr">
        <is>
          <t>G</t>
        </is>
      </c>
      <c r="G75" s="93" t="inlineStr">
        <is>
          <t>1.5V</t>
        </is>
      </c>
      <c r="H75" s="93" t="n"/>
      <c r="I75" s="93" t="n"/>
      <c r="M75" s="72" t="n"/>
      <c r="P75" s="72" t="n"/>
      <c r="Q75" s="105" t="inlineStr">
        <is>
          <t>Digital ground for PLL</t>
        </is>
      </c>
      <c r="R75" s="83" t="n"/>
      <c r="S75" s="83" t="n"/>
      <c r="T75" s="83" t="n"/>
    </row>
    <row r="76" hidden="1" ht="47.25" customHeight="1" s="26">
      <c r="A76" s="72" t="inlineStr">
        <is>
          <t>pll_model.pll_inst</t>
        </is>
      </c>
      <c r="B76" s="133" t="n"/>
      <c r="C76" s="83" t="inlineStr">
        <is>
          <t>TOP:pmu_inst_Ibias_10u[1:0]</t>
        </is>
      </c>
      <c r="D76" s="83" t="inlineStr">
        <is>
          <t>iref10u_cp[1:0]</t>
        </is>
      </c>
      <c r="E76" s="83">
        <f>IF(AND(ISNUMBER(FIND("[",D76)),ISNUMBER(FIND("]",D76)),ISNUMBER(FIND(":",D76))),MID(D76,FIND("[",D76)+1,FIND(":",D76)-FIND("[",D76)-1)+1-MID(D76,FIND(":",D76)+1,FIND("]",D76)-FIND(":",D76)-1),IF(OR(ISNUMBER(FIND("[",D76)),ISNUMBER(FIND("]",D76)),ISNUMBER(FIND(":",D76))),"ERROR",1))</f>
        <v/>
      </c>
      <c r="F76" s="98" t="inlineStr">
        <is>
          <t>A</t>
        </is>
      </c>
      <c r="G76" s="93" t="inlineStr">
        <is>
          <t>1.5V</t>
        </is>
      </c>
      <c r="H76" s="93" t="n"/>
      <c r="I76" s="93" t="n"/>
      <c r="M76" s="72" t="n"/>
      <c r="P76" s="72" t="n"/>
      <c r="Q76" s="83" t="inlineStr">
        <is>
          <t xml:space="preserve">Current nmos bias PTAT 
Default current =10uA
</t>
        </is>
      </c>
      <c r="R76" s="83" t="n"/>
      <c r="S76" s="83" t="n"/>
      <c r="T76" s="83" t="n"/>
    </row>
    <row r="77" hidden="1" s="26">
      <c r="A77" s="72" t="inlineStr">
        <is>
          <t>pll_model.pll_inst</t>
        </is>
      </c>
      <c r="B77" s="133" t="n"/>
      <c r="C77" s="83" t="inlineStr">
        <is>
          <t>TOP:pll_inst_atb</t>
        </is>
      </c>
      <c r="D77" s="83" t="inlineStr">
        <is>
          <t>atb</t>
        </is>
      </c>
      <c r="E77" s="83">
        <f>IF(AND(ISNUMBER(FIND("[",D77)),ISNUMBER(FIND("]",D77)),ISNUMBER(FIND(":",D77))),MID(D77,FIND("[",D77)+1,FIND(":",D77)-FIND("[",D77)-1)+1-MID(D77,FIND(":",D77)+1,FIND("]",D77)-FIND(":",D77)-1),IF(OR(ISNUMBER(FIND("[",D77)),ISNUMBER(FIND("]",D77)),ISNUMBER(FIND(":",D77))),"ERROR",1))</f>
        <v/>
      </c>
      <c r="F77" s="98" t="inlineStr">
        <is>
          <t>A</t>
        </is>
      </c>
      <c r="G77" s="83" t="n"/>
      <c r="H77" s="93" t="n"/>
      <c r="I77" s="93" t="n"/>
      <c r="M77" s="72" t="n"/>
      <c r="P77" s="72" t="n"/>
      <c r="Q77" s="83" t="inlineStr">
        <is>
          <t>analog test pin of PLL</t>
        </is>
      </c>
      <c r="R77" s="83" t="n"/>
      <c r="S77" s="83" t="n"/>
      <c r="T77" s="83" t="n"/>
    </row>
    <row r="78" ht="94.5" customHeight="1" s="26">
      <c r="A78" s="72" t="inlineStr">
        <is>
          <t>pll_model.pll_inst</t>
        </is>
      </c>
      <c r="B78" s="133" t="n"/>
      <c r="C78" s="83" t="inlineStr">
        <is>
          <t>core_pd.core_pd_inst</t>
        </is>
      </c>
      <c r="D78" s="83" t="inlineStr">
        <is>
          <t>atb_sel[1:0]</t>
        </is>
      </c>
      <c r="E78" s="83">
        <f>IF(AND(ISNUMBER(FIND("[",D78)),ISNUMBER(FIND("]",D78)),ISNUMBER(FIND(":",D78))),MID(D78,FIND("[",D78)+1,FIND(":",D78)-FIND("[",D78)-1)+1-MID(D78,FIND(":",D78)+1,FIND("]",D78)-FIND(":",D78)-1),IF(OR(ISNUMBER(FIND("[",D78)),ISNUMBER(FIND("]",D78)),ISNUMBER(FIND(":",D78))),"ERROR",1))</f>
        <v/>
      </c>
      <c r="F78" s="98" t="inlineStr">
        <is>
          <t>I</t>
        </is>
      </c>
      <c r="G78" s="83" t="n"/>
      <c r="H78" s="93" t="inlineStr">
        <is>
          <t>b00</t>
        </is>
      </c>
      <c r="I78" s="83" t="inlineStr">
        <is>
          <t>YES</t>
        </is>
      </c>
      <c r="J78" s="88" t="n"/>
      <c r="K78" s="88" t="n"/>
      <c r="L78" s="88" t="n"/>
      <c r="M78" s="89">
        <f>H78</f>
        <v/>
      </c>
      <c r="N78" s="88" t="n"/>
      <c r="O78" s="88">
        <f>IF(AND(OR(EXACT(F78,"I"),EXACT(F78,"O")),NOT(EXACT(P78,"NA"))),CONCATENATE("c_reg_test_sel_",RIGHT(IF(B78=0,LOOKUP(2,1/($B$2:B78&lt;&gt;0),$B$2:B78),B78),LEN(IF(B78=0,LOOKUP(2,1/($B$2:B78&lt;&gt;0),$B$2:B78),B78))-FIND(".",IF(B78=0,LOOKUP(2,1/($B$2:B78&lt;&gt;0),$B$2:B78),B78))),IF(0,CONCATENATE("&amp; !c_test_reg_pin_disable_",RIGHT(IF(B78=0,LOOKUP(2,1/($B$2:B78&lt;&gt;0),$B$2:B78),B78),LEN(IF(B78=0,LOOKUP(2,1/($B$2:B78&lt;&gt;0),$B$2:B78),B78))-FIND(".",IF(B78=0,LOOKUP(2,1/($B$2:B78&lt;&gt;0),$B$2:B78),B78)))),""),IF(P78,CONCATENATE("_grp_",P78),""),"/","c_pad_",RIGHT(IF(B78=0,LOOKUP(2,1/($B$2:B78&lt;&gt;0),$B$2:B78),B78),LEN(IF(B78=0,LOOKUP(2,1/($B$2:B78&lt;&gt;0),$B$2:B78),B78))-FIND(".",IF(B78=0,LOOKUP(2,1/($B$2:B78&lt;&gt;0),$B$2:B78),B78))),"_",IF(ISNUMBER(SEARCH("[",D78)),LEFT(D78,FIND("[",D78)-1),D78)),"")</f>
        <v/>
      </c>
      <c r="P78" s="90" t="inlineStr">
        <is>
          <t>NA</t>
        </is>
      </c>
      <c r="Q78" s="83" t="inlineStr">
        <is>
          <t xml:space="preserve">Register control analog test pin of PLL.
lock_sel [1:0] atb
lock_sel [1:0]= 2’b00 vcp_atb
lock_sel [1:0]= 2’b01 ivco_atb
</t>
        </is>
      </c>
      <c r="R78" s="83" t="inlineStr">
        <is>
          <t>0x001F</t>
        </is>
      </c>
      <c r="S78" s="83" t="inlineStr">
        <is>
          <t>[7:6]</t>
        </is>
      </c>
      <c r="T78" s="83" t="n"/>
    </row>
    <row r="79">
      <c r="A79" s="72" t="inlineStr">
        <is>
          <t>pll_model.pll_inst</t>
        </is>
      </c>
      <c r="B79" s="133" t="n"/>
      <c r="C79" s="83" t="inlineStr">
        <is>
          <t>core_pd.core_pd_inst</t>
        </is>
      </c>
      <c r="D79" s="83" t="inlineStr">
        <is>
          <t>digsmode</t>
        </is>
      </c>
      <c r="E79" s="83">
        <f>IF(AND(ISNUMBER(FIND("[",D79)),ISNUMBER(FIND("]",D79)),ISNUMBER(FIND(":",D79))),MID(D79,FIND("[",D79)+1,FIND(":",D79)-FIND("[",D79)-1)+1-MID(D79,FIND(":",D79)+1,FIND("]",D79)-FIND(":",D79)-1),IF(OR(ISNUMBER(FIND("[",D79)),ISNUMBER(FIND("]",D79)),ISNUMBER(FIND(":",D79))),"ERROR",1))</f>
        <v/>
      </c>
      <c r="F79" s="98" t="inlineStr">
        <is>
          <t>I</t>
        </is>
      </c>
      <c r="G79" s="83" t="n"/>
      <c r="H79" s="93" t="inlineStr">
        <is>
          <t>b1</t>
        </is>
      </c>
      <c r="I79" s="83" t="inlineStr">
        <is>
          <t>YES</t>
        </is>
      </c>
      <c r="J79" s="88" t="n"/>
      <c r="K79" s="88" t="n"/>
      <c r="L79" s="88" t="n"/>
      <c r="M79" s="89">
        <f>H79</f>
        <v/>
      </c>
      <c r="N79" s="88" t="n"/>
      <c r="O79" s="88">
        <f>IF(AND(OR(EXACT(F79,"I"),EXACT(F79,"O")),NOT(EXACT(P79,"NA"))),CONCATENATE("c_reg_test_sel_",RIGHT(IF(B79=0,LOOKUP(2,1/($B$2:B79&lt;&gt;0),$B$2:B79),B79),LEN(IF(B79=0,LOOKUP(2,1/($B$2:B79&lt;&gt;0),$B$2:B79),B79))-FIND(".",IF(B79=0,LOOKUP(2,1/($B$2:B79&lt;&gt;0),$B$2:B79),B79))),IF(0,CONCATENATE("&amp; !c_test_reg_pin_disable_",RIGHT(IF(B79=0,LOOKUP(2,1/($B$2:B79&lt;&gt;0),$B$2:B79),B79),LEN(IF(B79=0,LOOKUP(2,1/($B$2:B79&lt;&gt;0),$B$2:B79),B79))-FIND(".",IF(B79=0,LOOKUP(2,1/($B$2:B79&lt;&gt;0),$B$2:B79),B79)))),""),IF(P79,CONCATENATE("_grp_",P79),""),"/","c_pad_",RIGHT(IF(B79=0,LOOKUP(2,1/($B$2:B79&lt;&gt;0),$B$2:B79),B79),LEN(IF(B79=0,LOOKUP(2,1/($B$2:B79&lt;&gt;0),$B$2:B79),B79))-FIND(".",IF(B79=0,LOOKUP(2,1/($B$2:B79&lt;&gt;0),$B$2:B79),B79))),"_",IF(ISNUMBER(SEARCH("[",D79)),LEFT(D79,FIND("[",D79)-1),D79)),"")</f>
        <v/>
      </c>
      <c r="P79" s="90" t="inlineStr">
        <is>
          <t>NA</t>
        </is>
      </c>
      <c r="Q79" s="83" t="n"/>
      <c r="R79" s="83" t="inlineStr">
        <is>
          <t>0x001E</t>
        </is>
      </c>
      <c r="S79" s="83" t="inlineStr">
        <is>
          <t>[7]</t>
        </is>
      </c>
      <c r="T79" s="83" t="n"/>
    </row>
    <row r="80" hidden="1" ht="31.5" customHeight="1" s="26">
      <c r="A80" s="72" t="inlineStr">
        <is>
          <t>pll_model.pll_inst</t>
        </is>
      </c>
      <c r="B80" s="133" t="n"/>
      <c r="C80" s="119" t="inlineStr">
        <is>
          <t>TOP:pmu_inst_Ibias_0p5u</t>
        </is>
      </c>
      <c r="D80" s="119" t="inlineStr">
        <is>
          <t>Ib0p5u</t>
        </is>
      </c>
      <c r="E80" s="83">
        <f>IF(AND(ISNUMBER(FIND("[",D80)),ISNUMBER(FIND("]",D80)),ISNUMBER(FIND(":",D80))),MID(D80,FIND("[",D80)+1,FIND(":",D80)-FIND("[",D80)-1)+1-MID(D80,FIND(":",D80)+1,FIND("]",D80)-FIND(":",D80)-1),IF(OR(ISNUMBER(FIND("[",D80)),ISNUMBER(FIND("]",D80)),ISNUMBER(FIND(":",D80))),"ERROR",1))</f>
        <v/>
      </c>
      <c r="F80" s="98" t="inlineStr">
        <is>
          <t>A</t>
        </is>
      </c>
      <c r="G80" s="83" t="n"/>
      <c r="H80" s="93" t="n"/>
      <c r="I80" s="99" t="n"/>
      <c r="M80" s="72" t="n"/>
      <c r="P80" s="72" t="n"/>
      <c r="Q80" s="106" t="inlineStr">
        <is>
          <t xml:space="preserve">Floating
</t>
        </is>
      </c>
      <c r="R80" s="83" t="n"/>
      <c r="S80" s="83" t="n"/>
      <c r="T80" s="83" t="n"/>
    </row>
    <row r="81" hidden="1" ht="47.25" customHeight="1" s="26">
      <c r="A81" s="72" t="inlineStr">
        <is>
          <t>pll_model.pll_inst</t>
        </is>
      </c>
      <c r="B81" s="133" t="n"/>
      <c r="C81" s="83" t="inlineStr">
        <is>
          <t>TOP:pmu_inst_VREF1P2</t>
        </is>
      </c>
      <c r="D81" s="83" t="inlineStr">
        <is>
          <t>vref1p2</t>
        </is>
      </c>
      <c r="E81" s="83">
        <f>IF(AND(ISNUMBER(FIND("[",D81)),ISNUMBER(FIND("]",D81)),ISNUMBER(FIND(":",D81))),MID(D81,FIND("[",D81)+1,FIND(":",D81)-FIND("[",D81)-1)+1-MID(D81,FIND(":",D81)+1,FIND("]",D81)-FIND(":",D81)-1),IF(OR(ISNUMBER(FIND("[",D81)),ISNUMBER(FIND("]",D81)),ISNUMBER(FIND(":",D81))),"ERROR",1))</f>
        <v/>
      </c>
      <c r="F81" s="98" t="inlineStr">
        <is>
          <t>A</t>
        </is>
      </c>
      <c r="G81" s="83" t="n"/>
      <c r="H81" s="93" t="n"/>
      <c r="I81" s="93" t="n"/>
      <c r="M81" s="72" t="n"/>
      <c r="P81" s="72" t="n"/>
      <c r="Q81" s="83" t="inlineStr">
        <is>
          <t xml:space="preserve">Reference voltage for PLL_LDO
Default =1.5V
</t>
        </is>
      </c>
      <c r="R81" s="83" t="n"/>
      <c r="S81" s="83" t="n"/>
      <c r="T81" s="83" t="n"/>
    </row>
    <row r="82" ht="63" customHeight="1" s="26">
      <c r="A82" s="72" t="inlineStr">
        <is>
          <t>pll_model.pll_inst</t>
        </is>
      </c>
      <c r="B82" s="133" t="n"/>
      <c r="C82" s="83" t="inlineStr">
        <is>
          <t>core_pd.core_pd_inst</t>
        </is>
      </c>
      <c r="D82" s="83" t="inlineStr">
        <is>
          <t>EN_PLL</t>
        </is>
      </c>
      <c r="E82" s="83">
        <f>IF(AND(ISNUMBER(FIND("[",D82)),ISNUMBER(FIND("]",D82)),ISNUMBER(FIND(":",D82))),MID(D82,FIND("[",D82)+1,FIND(":",D82)-FIND("[",D82)-1)+1-MID(D82,FIND(":",D82)+1,FIND("]",D82)-FIND(":",D82)-1),IF(OR(ISNUMBER(FIND("[",D82)),ISNUMBER(FIND("]",D82)),ISNUMBER(FIND(":",D82))),"ERROR",1))</f>
        <v/>
      </c>
      <c r="F82" s="98" t="inlineStr">
        <is>
          <t>I</t>
        </is>
      </c>
      <c r="G82" s="83" t="n"/>
      <c r="H82" s="93" t="inlineStr">
        <is>
          <t>b0</t>
        </is>
      </c>
      <c r="I82" s="83" t="inlineStr">
        <is>
          <t>YES</t>
        </is>
      </c>
      <c r="J82" s="88" t="n"/>
      <c r="K82" s="88" t="n"/>
      <c r="L82" s="88" t="n"/>
      <c r="M82" s="89">
        <f>H82</f>
        <v/>
      </c>
      <c r="N82" s="88" t="n"/>
      <c r="O82" s="88">
        <f>IF(AND(OR(EXACT(F82,"I"),EXACT(F82,"O")),NOT(EXACT(P82,"NA"))),CONCATENATE("c_reg_test_sel_",RIGHT(IF(B82=0,LOOKUP(2,1/($B$2:B82&lt;&gt;0),$B$2:B82),B82),LEN(IF(B82=0,LOOKUP(2,1/($B$2:B82&lt;&gt;0),$B$2:B82),B82))-FIND(".",IF(B82=0,LOOKUP(2,1/($B$2:B82&lt;&gt;0),$B$2:B82),B82))),IF(0,CONCATENATE("&amp; !c_test_reg_pin_disable_",RIGHT(IF(B82=0,LOOKUP(2,1/($B$2:B82&lt;&gt;0),$B$2:B82),B82),LEN(IF(B82=0,LOOKUP(2,1/($B$2:B82&lt;&gt;0),$B$2:B82),B82))-FIND(".",IF(B82=0,LOOKUP(2,1/($B$2:B82&lt;&gt;0),$B$2:B82),B82)))),""),IF(P82,CONCATENATE("_grp_",P82),""),"/","c_pad_",RIGHT(IF(B82=0,LOOKUP(2,1/($B$2:B82&lt;&gt;0),$B$2:B82),B82),LEN(IF(B82=0,LOOKUP(2,1/($B$2:B82&lt;&gt;0),$B$2:B82),B82))-FIND(".",IF(B82=0,LOOKUP(2,1/($B$2:B82&lt;&gt;0),$B$2:B82),B82))),"_",IF(ISNUMBER(SEARCH("[",D82)),LEFT(D82,FIND("[",D82)-1),D82)),"")</f>
        <v/>
      </c>
      <c r="P82" s="90" t="n"/>
      <c r="Q82" s="83" t="inlineStr">
        <is>
          <t xml:space="preserve">enable signal of PLL, high active. 
EN_PLL = “1”  Enables PLL. 
EN_PLL = “0”  disable PLL.
</t>
        </is>
      </c>
      <c r="R82" s="83" t="inlineStr">
        <is>
          <t>0x001F</t>
        </is>
      </c>
      <c r="S82" s="83" t="inlineStr">
        <is>
          <t>[0]</t>
        </is>
      </c>
      <c r="T82" s="83" t="n"/>
    </row>
    <row r="83" ht="63" customHeight="1" s="26">
      <c r="A83" s="72" t="inlineStr">
        <is>
          <t>pll_model.pll_inst</t>
        </is>
      </c>
      <c r="B83" s="133" t="n"/>
      <c r="C83" s="83" t="inlineStr">
        <is>
          <t>core_pd.core_pd_inst</t>
        </is>
      </c>
      <c r="D83" s="83" t="inlineStr">
        <is>
          <t>nrst</t>
        </is>
      </c>
      <c r="E83" s="83">
        <f>IF(AND(ISNUMBER(FIND("[",D83)),ISNUMBER(FIND("]",D83)),ISNUMBER(FIND(":",D83))),MID(D83,FIND("[",D83)+1,FIND(":",D83)-FIND("[",D83)-1)+1-MID(D83,FIND(":",D83)+1,FIND("]",D83)-FIND(":",D83)-1),IF(OR(ISNUMBER(FIND("[",D83)),ISNUMBER(FIND("]",D83)),ISNUMBER(FIND(":",D83))),"ERROR",1))</f>
        <v/>
      </c>
      <c r="F83" s="98" t="inlineStr">
        <is>
          <t>I</t>
        </is>
      </c>
      <c r="G83" s="83" t="n"/>
      <c r="H83" s="93" t="inlineStr">
        <is>
          <t>b1</t>
        </is>
      </c>
      <c r="I83" s="83" t="inlineStr">
        <is>
          <t>YES</t>
        </is>
      </c>
      <c r="J83" s="88" t="n"/>
      <c r="K83" s="88" t="n"/>
      <c r="L83" s="88" t="n"/>
      <c r="M83" s="89">
        <f>H83</f>
        <v/>
      </c>
      <c r="N83" s="88" t="n"/>
      <c r="O83" s="88">
        <f>IF(AND(OR(EXACT(F83,"I"),EXACT(F83,"O")),NOT(EXACT(P83,"NA"))),CONCATENATE("c_reg_test_sel_",RIGHT(IF(B83=0,LOOKUP(2,1/($B$2:B83&lt;&gt;0),$B$2:B83),B83),LEN(IF(B83=0,LOOKUP(2,1/($B$2:B83&lt;&gt;0),$B$2:B83),B83))-FIND(".",IF(B83=0,LOOKUP(2,1/($B$2:B83&lt;&gt;0),$B$2:B83),B83))),IF(0,CONCATENATE("&amp; !c_test_reg_pin_disable_",RIGHT(IF(B83=0,LOOKUP(2,1/($B$2:B83&lt;&gt;0),$B$2:B83),B83),LEN(IF(B83=0,LOOKUP(2,1/($B$2:B83&lt;&gt;0),$B$2:B83),B83))-FIND(".",IF(B83=0,LOOKUP(2,1/($B$2:B83&lt;&gt;0),$B$2:B83),B83)))),""),IF(P83,CONCATENATE("_grp_",P83),""),"/","c_pad_",RIGHT(IF(B83=0,LOOKUP(2,1/($B$2:B83&lt;&gt;0),$B$2:B83),B83),LEN(IF(B83=0,LOOKUP(2,1/($B$2:B83&lt;&gt;0),$B$2:B83),B83))-FIND(".",IF(B83=0,LOOKUP(2,1/($B$2:B83&lt;&gt;0),$B$2:B83),B83))),"_",IF(ISNUMBER(SEARCH("[",D83)),LEFT(D83,FIND("[",D83)-1),D83)),"")</f>
        <v/>
      </c>
      <c r="P83" s="90" t="n"/>
      <c r="Q83" s="83" t="inlineStr">
        <is>
          <t xml:space="preserve">reset signal of PLL, low active. 
nrst = “1”  Enables PLL. 
nrst = “0”  reset PLL.
</t>
        </is>
      </c>
      <c r="R83" s="83" t="inlineStr">
        <is>
          <t>0x001F</t>
        </is>
      </c>
      <c r="S83" s="83" t="inlineStr">
        <is>
          <t>[1]</t>
        </is>
      </c>
      <c r="T83" s="83" t="n"/>
    </row>
    <row r="84" ht="47.25" customHeight="1" s="26">
      <c r="A84" s="72" t="inlineStr">
        <is>
          <t>pll_model.pll_inst</t>
        </is>
      </c>
      <c r="B84" s="133" t="n"/>
      <c r="C84" s="83" t="inlineStr">
        <is>
          <t>core_pd.core_pd_inst</t>
        </is>
      </c>
      <c r="D84" s="83" t="inlineStr">
        <is>
          <t>clk_ext</t>
        </is>
      </c>
      <c r="E84" s="83">
        <f>IF(AND(ISNUMBER(FIND("[",D84)),ISNUMBER(FIND("]",D84)),ISNUMBER(FIND(":",D84))),MID(D84,FIND("[",D84)+1,FIND(":",D84)-FIND("[",D84)-1)+1-MID(D84,FIND(":",D84)+1,FIND("]",D84)-FIND(":",D84)-1),IF(OR(ISNUMBER(FIND("[",D84)),ISNUMBER(FIND("]",D84)),ISNUMBER(FIND(":",D84))),"ERROR",1))</f>
        <v/>
      </c>
      <c r="F84" s="98" t="inlineStr">
        <is>
          <t>I</t>
        </is>
      </c>
      <c r="G84" s="83" t="n"/>
      <c r="H84" s="93" t="inlineStr">
        <is>
          <t>b0</t>
        </is>
      </c>
      <c r="I84" s="93" t="inlineStr">
        <is>
          <t>NO</t>
        </is>
      </c>
      <c r="J84" s="88" t="n"/>
      <c r="K84" s="88" t="n"/>
      <c r="L84" s="88" t="n"/>
      <c r="M84" s="89">
        <f>H84</f>
        <v/>
      </c>
      <c r="N84" s="88" t="n"/>
      <c r="O84" s="88">
        <f>IF(AND(OR(EXACT(F84,"I"),EXACT(F84,"O")),NOT(EXACT(P84,"NA"))),CONCATENATE("c_reg_test_sel_",RIGHT(IF(B84=0,LOOKUP(2,1/($B$2:B84&lt;&gt;0),$B$2:B84),B84),LEN(IF(B84=0,LOOKUP(2,1/($B$2:B84&lt;&gt;0),$B$2:B84),B84))-FIND(".",IF(B84=0,LOOKUP(2,1/($B$2:B84&lt;&gt;0),$B$2:B84),B84))),IF(0,CONCATENATE("&amp; !c_test_reg_pin_disable_",RIGHT(IF(B84=0,LOOKUP(2,1/($B$2:B84&lt;&gt;0),$B$2:B84),B84),LEN(IF(B84=0,LOOKUP(2,1/($B$2:B84&lt;&gt;0),$B$2:B84),B84))-FIND(".",IF(B84=0,LOOKUP(2,1/($B$2:B84&lt;&gt;0),$B$2:B84),B84)))),""),IF(P84,CONCATENATE("_grp_",P84),""),"/","c_pad_",RIGHT(IF(B84=0,LOOKUP(2,1/($B$2:B84&lt;&gt;0),$B$2:B84),B84),LEN(IF(B84=0,LOOKUP(2,1/($B$2:B84&lt;&gt;0),$B$2:B84),B84))-FIND(".",IF(B84=0,LOOKUP(2,1/($B$2:B84&lt;&gt;0),$B$2:B84),B84))),"_",IF(ISNUMBER(SEARCH("[",D84)),LEFT(D84,FIND("[",D84)-1),D84)),"")</f>
        <v/>
      </c>
      <c r="P84" s="90" t="n"/>
      <c r="Q84" s="83" t="inlineStr">
        <is>
          <t xml:space="preserve">The reference clock of PLL from ext. 
Supports clock frequency range from 4MHz to 32MHz. 
</t>
        </is>
      </c>
      <c r="R84" s="83" t="inlineStr">
        <is>
          <t>0x00FE</t>
        </is>
      </c>
      <c r="S84" s="83" t="inlineStr">
        <is>
          <t>[1:0]</t>
        </is>
      </c>
      <c r="T84" s="83" t="n"/>
    </row>
    <row r="85" ht="47.25" customHeight="1" s="26">
      <c r="A85" s="72" t="inlineStr">
        <is>
          <t>pll_model.pll_inst</t>
        </is>
      </c>
      <c r="B85" s="133" t="n"/>
      <c r="C85" s="83" t="inlineStr">
        <is>
          <t>core_pd.core_pd_inst</t>
        </is>
      </c>
      <c r="D85" s="83" t="inlineStr">
        <is>
          <t>clk_soc</t>
        </is>
      </c>
      <c r="E85" s="83">
        <f>IF(AND(ISNUMBER(FIND("[",D85)),ISNUMBER(FIND("]",D85)),ISNUMBER(FIND(":",D85))),MID(D85,FIND("[",D85)+1,FIND(":",D85)-FIND("[",D85)-1)+1-MID(D85,FIND(":",D85)+1,FIND("]",D85)-FIND(":",D85)-1),IF(OR(ISNUMBER(FIND("[",D85)),ISNUMBER(FIND("]",D85)),ISNUMBER(FIND(":",D85))),"ERROR",1))</f>
        <v/>
      </c>
      <c r="F85" s="98" t="inlineStr">
        <is>
          <t>I</t>
        </is>
      </c>
      <c r="G85" s="83" t="n"/>
      <c r="H85" s="93" t="inlineStr">
        <is>
          <t>b0</t>
        </is>
      </c>
      <c r="I85" s="93" t="inlineStr">
        <is>
          <t>NO</t>
        </is>
      </c>
      <c r="J85" s="88" t="n"/>
      <c r="K85" s="88" t="n"/>
      <c r="L85" s="88" t="n"/>
      <c r="M85" s="89">
        <f>H85</f>
        <v/>
      </c>
      <c r="N85" s="88" t="n"/>
      <c r="O85" s="88">
        <f>IF(AND(OR(EXACT(F85,"I"),EXACT(F85,"O")),NOT(EXACT(P85,"NA"))),CONCATENATE("c_reg_test_sel_",RIGHT(IF(B85=0,LOOKUP(2,1/($B$2:B85&lt;&gt;0),$B$2:B85),B85),LEN(IF(B85=0,LOOKUP(2,1/($B$2:B85&lt;&gt;0),$B$2:B85),B85))-FIND(".",IF(B85=0,LOOKUP(2,1/($B$2:B85&lt;&gt;0),$B$2:B85),B85))),IF(0,CONCATENATE("&amp; !c_test_reg_pin_disable_",RIGHT(IF(B85=0,LOOKUP(2,1/($B$2:B85&lt;&gt;0),$B$2:B85),B85),LEN(IF(B85=0,LOOKUP(2,1/($B$2:B85&lt;&gt;0),$B$2:B85),B85))-FIND(".",IF(B85=0,LOOKUP(2,1/($B$2:B85&lt;&gt;0),$B$2:B85),B85)))),""),IF(P85,CONCATENATE("_grp_",P85),""),"/","c_pad_",RIGHT(IF(B85=0,LOOKUP(2,1/($B$2:B85&lt;&gt;0),$B$2:B85),B85),LEN(IF(B85=0,LOOKUP(2,1/($B$2:B85&lt;&gt;0),$B$2:B85),B85))-FIND(".",IF(B85=0,LOOKUP(2,1/($B$2:B85&lt;&gt;0),$B$2:B85),B85))),"_",IF(ISNUMBER(SEARCH("[",D85)),LEFT(D85,FIND("[",D85)-1),D85)),"")</f>
        <v/>
      </c>
      <c r="P85" s="90" t="n"/>
      <c r="Q85" s="83" t="inlineStr">
        <is>
          <t xml:space="preserve">The reference clock of PLL. 
Supports clock frequency range from 4MHz to 32MHz. 
</t>
        </is>
      </c>
      <c r="R85" s="83" t="inlineStr">
        <is>
          <t>0x00FE</t>
        </is>
      </c>
      <c r="S85" s="83" t="inlineStr">
        <is>
          <t>[3:2]</t>
        </is>
      </c>
      <c r="T85" s="83" t="n"/>
    </row>
    <row r="86" ht="63" customHeight="1" s="26">
      <c r="A86" s="72" t="inlineStr">
        <is>
          <t>pll_model.pll_inst</t>
        </is>
      </c>
      <c r="B86" s="133" t="n"/>
      <c r="C86" s="83" t="inlineStr">
        <is>
          <t>core_pd.core_pd_inst</t>
        </is>
      </c>
      <c r="D86" s="83" t="inlineStr">
        <is>
          <t>extclk_sel</t>
        </is>
      </c>
      <c r="E86" s="83">
        <f>IF(AND(ISNUMBER(FIND("[",D86)),ISNUMBER(FIND("]",D86)),ISNUMBER(FIND(":",D86))),MID(D86,FIND("[",D86)+1,FIND(":",D86)-FIND("[",D86)-1)+1-MID(D86,FIND(":",D86)+1,FIND("]",D86)-FIND(":",D86)-1),IF(OR(ISNUMBER(FIND("[",D86)),ISNUMBER(FIND("]",D86)),ISNUMBER(FIND(":",D86))),"ERROR",1))</f>
        <v/>
      </c>
      <c r="F86" s="98" t="inlineStr">
        <is>
          <t>I</t>
        </is>
      </c>
      <c r="G86" s="83" t="n"/>
      <c r="H86" s="93" t="inlineStr">
        <is>
          <t>b0</t>
        </is>
      </c>
      <c r="I86" s="83" t="inlineStr">
        <is>
          <t>YES</t>
        </is>
      </c>
      <c r="J86" s="88" t="n"/>
      <c r="K86" s="88" t="n"/>
      <c r="L86" s="88" t="n"/>
      <c r="M86" s="89">
        <f>H86</f>
        <v/>
      </c>
      <c r="N86" s="88" t="n"/>
      <c r="O86" s="88">
        <f>IF(AND(OR(EXACT(F86,"I"),EXACT(F86,"O")),NOT(EXACT(P86,"NA"))),CONCATENATE("c_reg_test_sel_",RIGHT(IF(B86=0,LOOKUP(2,1/($B$2:B86&lt;&gt;0),$B$2:B86),B86),LEN(IF(B86=0,LOOKUP(2,1/($B$2:B86&lt;&gt;0),$B$2:B86),B86))-FIND(".",IF(B86=0,LOOKUP(2,1/($B$2:B86&lt;&gt;0),$B$2:B86),B86))),IF(0,CONCATENATE("&amp; !c_test_reg_pin_disable_",RIGHT(IF(B86=0,LOOKUP(2,1/($B$2:B86&lt;&gt;0),$B$2:B86),B86),LEN(IF(B86=0,LOOKUP(2,1/($B$2:B86&lt;&gt;0),$B$2:B86),B86))-FIND(".",IF(B86=0,LOOKUP(2,1/($B$2:B86&lt;&gt;0),$B$2:B86),B86)))),""),IF(P86,CONCATENATE("_grp_",P86),""),"/","c_pad_",RIGHT(IF(B86=0,LOOKUP(2,1/($B$2:B86&lt;&gt;0),$B$2:B86),B86),LEN(IF(B86=0,LOOKUP(2,1/($B$2:B86&lt;&gt;0),$B$2:B86),B86))-FIND(".",IF(B86=0,LOOKUP(2,1/($B$2:B86&lt;&gt;0),$B$2:B86),B86))),"_",IF(ISNUMBER(SEARCH("[",D86)),LEFT(D86,FIND("[",D86)-1),D86)),"")</f>
        <v/>
      </c>
      <c r="P86" s="90" t="n"/>
      <c r="Q86" s="83" t="inlineStr">
        <is>
          <t xml:space="preserve">Reference clock selection of PLL, high active. 
extclk_sel = “0”  PLL ref clock=clk_soc. (default)
extclk_sel = “1”  PLL ref clock=clk_ext.
</t>
        </is>
      </c>
      <c r="R86" s="83" t="inlineStr">
        <is>
          <t>0x001D</t>
        </is>
      </c>
      <c r="S86" s="83" t="inlineStr">
        <is>
          <t>[5]</t>
        </is>
      </c>
      <c r="T86" s="83" t="n"/>
    </row>
    <row r="87" hidden="1" ht="94.5" customHeight="1" s="26">
      <c r="A87" s="72" t="inlineStr">
        <is>
          <t>pll_model.pll_inst</t>
        </is>
      </c>
      <c r="B87" s="133" t="n"/>
      <c r="C87" s="83" t="inlineStr">
        <is>
          <t>core_pd.core_pd_inst</t>
        </is>
      </c>
      <c r="D87" s="83" t="inlineStr">
        <is>
          <t>CLKOUT</t>
        </is>
      </c>
      <c r="E87" s="83">
        <f>IF(AND(ISNUMBER(FIND("[",D87)),ISNUMBER(FIND("]",D87)),ISNUMBER(FIND(":",D87))),MID(D87,FIND("[",D87)+1,FIND(":",D87)-FIND("[",D87)-1)+1-MID(D87,FIND(":",D87)+1,FIND("]",D87)-FIND(":",D87)-1),IF(OR(ISNUMBER(FIND("[",D87)),ISNUMBER(FIND("]",D87)),ISNUMBER(FIND(":",D87))),"ERROR",1))</f>
        <v/>
      </c>
      <c r="F87" s="98" t="inlineStr">
        <is>
          <t>O</t>
        </is>
      </c>
      <c r="G87" s="83" t="n"/>
      <c r="H87" s="83" t="n"/>
      <c r="I87" s="93" t="inlineStr">
        <is>
          <t>NO</t>
        </is>
      </c>
      <c r="J87" s="88" t="n"/>
      <c r="K87" s="88" t="n"/>
      <c r="L87" s="88" t="n"/>
      <c r="M87" s="89">
        <f>H87</f>
        <v/>
      </c>
      <c r="N87" s="88" t="inlineStr">
        <is>
          <t>NONE</t>
        </is>
      </c>
      <c r="O87" s="88">
        <f>IF(AND(OR(EXACT(F87,"I"),EXACT(F87,"O")),NOT(EXACT(P87,"NA"))),CONCATENATE("c_reg_test_sel_",RIGHT(IF(B87=0,LOOKUP(2,1/($B$2:B87&lt;&gt;0),$B$2:B87),B87),LEN(IF(B87=0,LOOKUP(2,1/($B$2:B87&lt;&gt;0),$B$2:B87),B87))-FIND(".",IF(B87=0,LOOKUP(2,1/($B$2:B87&lt;&gt;0),$B$2:B87),B87))),IF(0,CONCATENATE("&amp; !c_test_reg_pin_disable_",RIGHT(IF(B87=0,LOOKUP(2,1/($B$2:B87&lt;&gt;0),$B$2:B87),B87),LEN(IF(B87=0,LOOKUP(2,1/($B$2:B87&lt;&gt;0),$B$2:B87),B87))-FIND(".",IF(B87=0,LOOKUP(2,1/($B$2:B87&lt;&gt;0),$B$2:B87),B87)))),""),IF(P87,CONCATENATE("_grp_",P87),""),"/","c_pad_",RIGHT(IF(B87=0,LOOKUP(2,1/($B$2:B87&lt;&gt;0),$B$2:B87),B87),LEN(IF(B87=0,LOOKUP(2,1/($B$2:B87&lt;&gt;0),$B$2:B87),B87))-FIND(".",IF(B87=0,LOOKUP(2,1/($B$2:B87&lt;&gt;0),$B$2:B87),B87))),"_",IF(ISNUMBER(SEARCH("[",D87)),LEFT(D87,FIND("[",D87)-1),D87)),"")</f>
        <v/>
      </c>
      <c r="P87" s="90" t="n"/>
      <c r="Q87" s="83" t="inlineStr">
        <is>
          <t xml:space="preserve">Low frequency output clock of PLL. 
clkout_div[1:0]=2’b00f(CLKOUT)= f(CLKOUT_HF)/1;
 clkout_div[1:0]=2’b01 f(CLKOUT)= f(CLKOUT_HF)/2;
 clkout_div[1:0]=2’b10 f(CLKOUT)= f(CLKOUT_HF)/4;
 clkout_div[1:0]=2’b11 f(CLKOUT)= f(CLKOUT_HF)/8 
</t>
        </is>
      </c>
      <c r="R87" s="83" t="n"/>
      <c r="S87" s="83" t="n"/>
      <c r="T87" s="83" t="n"/>
    </row>
    <row r="88" hidden="1" ht="47.25" customHeight="1" s="26">
      <c r="A88" s="72" t="inlineStr">
        <is>
          <t>pll_model.pll_inst</t>
        </is>
      </c>
      <c r="B88" s="133" t="n"/>
      <c r="C88" s="83" t="inlineStr">
        <is>
          <t>TOP:pll_inst_CLKOUT_HF</t>
        </is>
      </c>
      <c r="D88" s="83" t="inlineStr">
        <is>
          <t>CLKOUT_HF</t>
        </is>
      </c>
      <c r="E88" s="83">
        <f>IF(AND(ISNUMBER(FIND("[",D88)),ISNUMBER(FIND("]",D88)),ISNUMBER(FIND(":",D88))),MID(D88,FIND("[",D88)+1,FIND(":",D88)-FIND("[",D88)-1)+1-MID(D88,FIND(":",D88)+1,FIND("]",D88)-FIND(":",D88)-1),IF(OR(ISNUMBER(FIND("[",D88)),ISNUMBER(FIND("]",D88)),ISNUMBER(FIND(":",D88))),"ERROR",1))</f>
        <v/>
      </c>
      <c r="F88" s="98" t="inlineStr">
        <is>
          <t>A</t>
        </is>
      </c>
      <c r="G88" s="83" t="n"/>
      <c r="H88" s="83" t="n"/>
      <c r="I88" s="102" t="n"/>
      <c r="M88" s="72" t="n"/>
      <c r="P88" s="72" t="n"/>
      <c r="Q88" s="102" t="inlineStr">
        <is>
          <t xml:space="preserve">High frequency output clock of PLL 
The frequency range is from 100MHz to 300MHz 
</t>
        </is>
      </c>
      <c r="R88" s="83" t="n"/>
      <c r="S88" s="83" t="n"/>
      <c r="T88" s="83" t="n"/>
    </row>
    <row r="89" hidden="1" ht="63" customHeight="1" s="26">
      <c r="A89" s="72" t="inlineStr">
        <is>
          <t>pll_model.pll_inst</t>
        </is>
      </c>
      <c r="B89" s="133" t="n"/>
      <c r="C89" s="83" t="inlineStr">
        <is>
          <t>core_pd.core_pd_inst</t>
        </is>
      </c>
      <c r="D89" s="83" t="inlineStr">
        <is>
          <t>pll_lock</t>
        </is>
      </c>
      <c r="E89" s="83">
        <f>IF(AND(ISNUMBER(FIND("[",D89)),ISNUMBER(FIND("]",D89)),ISNUMBER(FIND(":",D89))),MID(D89,FIND("[",D89)+1,FIND(":",D89)-FIND("[",D89)-1)+1-MID(D89,FIND(":",D89)+1,FIND("]",D89)-FIND(":",D89)-1),IF(OR(ISNUMBER(FIND("[",D89)),ISNUMBER(FIND("]",D89)),ISNUMBER(FIND(":",D89))),"ERROR",1))</f>
        <v/>
      </c>
      <c r="F89" s="98" t="inlineStr">
        <is>
          <t>O</t>
        </is>
      </c>
      <c r="G89" s="83" t="n"/>
      <c r="H89" s="83" t="n"/>
      <c r="I89" s="91" t="inlineStr">
        <is>
          <t>YES</t>
        </is>
      </c>
      <c r="J89" s="88" t="n"/>
      <c r="K89" s="88" t="n"/>
      <c r="L89" s="88" t="n"/>
      <c r="M89" s="89">
        <f>H89</f>
        <v/>
      </c>
      <c r="N89" s="88" t="n"/>
      <c r="O89" s="88">
        <f>IF(AND(OR(EXACT(F89,"I"),EXACT(F89,"O")),NOT(EXACT(P89,"NA"))),CONCATENATE("c_reg_test_sel_",RIGHT(IF(B89=0,LOOKUP(2,1/($B$2:B89&lt;&gt;0),$B$2:B89),B89),LEN(IF(B89=0,LOOKUP(2,1/($B$2:B89&lt;&gt;0),$B$2:B89),B89))-FIND(".",IF(B89=0,LOOKUP(2,1/($B$2:B89&lt;&gt;0),$B$2:B89),B89))),IF(0,CONCATENATE("&amp; !c_test_reg_pin_disable_",RIGHT(IF(B89=0,LOOKUP(2,1/($B$2:B89&lt;&gt;0),$B$2:B89),B89),LEN(IF(B89=0,LOOKUP(2,1/($B$2:B89&lt;&gt;0),$B$2:B89),B89))-FIND(".",IF(B89=0,LOOKUP(2,1/($B$2:B89&lt;&gt;0),$B$2:B89),B89)))),""),IF(P89,CONCATENATE("_grp_",P89),""),"/","c_pad_",RIGHT(IF(B89=0,LOOKUP(2,1/($B$2:B89&lt;&gt;0),$B$2:B89),B89),LEN(IF(B89=0,LOOKUP(2,1/($B$2:B89&lt;&gt;0),$B$2:B89),B89))-FIND(".",IF(B89=0,LOOKUP(2,1/($B$2:B89&lt;&gt;0),$B$2:B89),B89))),"_",IF(ISNUMBER(SEARCH("[",D89)),LEFT(D89,FIND("[",D89)-1),D89)),"")</f>
        <v/>
      </c>
      <c r="P89" s="90" t="n"/>
      <c r="Q89" s="83" t="inlineStr">
        <is>
          <t xml:space="preserve">PLL lock indication signal, high active 
When PLL_LOCK= “1”, PLL is at lock state. 
When nrst=“0”, PLL_LOCK=“0”. 
</t>
        </is>
      </c>
      <c r="R89" s="91" t="inlineStr">
        <is>
          <t>0x001D</t>
        </is>
      </c>
      <c r="S89" s="83" t="n"/>
      <c r="T89" s="83" t="n"/>
    </row>
    <row r="90" ht="126" customHeight="1" s="26">
      <c r="A90" s="72" t="inlineStr">
        <is>
          <t>pll_model.pll_inst</t>
        </is>
      </c>
      <c r="B90" s="133" t="n"/>
      <c r="C90" s="83" t="inlineStr">
        <is>
          <t>core_pd.core_pd_inst</t>
        </is>
      </c>
      <c r="D90" s="83" t="inlineStr">
        <is>
          <t>lock_sel[1:0]</t>
        </is>
      </c>
      <c r="E90" s="83">
        <f>IF(AND(ISNUMBER(FIND("[",D90)),ISNUMBER(FIND("]",D90)),ISNUMBER(FIND(":",D90))),MID(D90,FIND("[",D90)+1,FIND(":",D90)-FIND("[",D90)-1)+1-MID(D90,FIND(":",D90)+1,FIND("]",D90)-FIND(":",D90)-1),IF(OR(ISNUMBER(FIND("[",D90)),ISNUMBER(FIND("]",D90)),ISNUMBER(FIND(":",D90))),"ERROR",1))</f>
        <v/>
      </c>
      <c r="F90" s="98" t="inlineStr">
        <is>
          <t>I</t>
        </is>
      </c>
      <c r="G90" s="83" t="n"/>
      <c r="H90" s="83" t="inlineStr">
        <is>
          <t>b00</t>
        </is>
      </c>
      <c r="I90" s="83" t="inlineStr">
        <is>
          <t>YES</t>
        </is>
      </c>
      <c r="J90" s="88" t="n"/>
      <c r="K90" s="88" t="n"/>
      <c r="L90" s="88" t="n"/>
      <c r="M90" s="89">
        <f>H90</f>
        <v/>
      </c>
      <c r="N90" s="88" t="n"/>
      <c r="O90" s="88">
        <f>IF(AND(OR(EXACT(F90,"I"),EXACT(F90,"O")),NOT(EXACT(P90,"NA"))),CONCATENATE("c_reg_test_sel_",RIGHT(IF(B90=0,LOOKUP(2,1/($B$2:B90&lt;&gt;0),$B$2:B90),B90),LEN(IF(B90=0,LOOKUP(2,1/($B$2:B90&lt;&gt;0),$B$2:B90),B90))-FIND(".",IF(B90=0,LOOKUP(2,1/($B$2:B90&lt;&gt;0),$B$2:B90),B90))),IF(0,CONCATENATE("&amp; !c_test_reg_pin_disable_",RIGHT(IF(B90=0,LOOKUP(2,1/($B$2:B90&lt;&gt;0),$B$2:B90),B90),LEN(IF(B90=0,LOOKUP(2,1/($B$2:B90&lt;&gt;0),$B$2:B90),B90))-FIND(".",IF(B90=0,LOOKUP(2,1/($B$2:B90&lt;&gt;0),$B$2:B90),B90)))),""),IF(P90,CONCATENATE("_grp_",P90),""),"/","c_pad_",RIGHT(IF(B90=0,LOOKUP(2,1/($B$2:B90&lt;&gt;0),$B$2:B90),B90),LEN(IF(B90=0,LOOKUP(2,1/($B$2:B90&lt;&gt;0),$B$2:B90),B90))-FIND(".",IF(B90=0,LOOKUP(2,1/($B$2:B90&lt;&gt;0),$B$2:B90),B90))),"_",IF(ISNUMBER(SEARCH("[",D90)),LEFT(D90,FIND("[",D90)-1),D90)),"")</f>
        <v/>
      </c>
      <c r="P90" s="90" t="inlineStr">
        <is>
          <t>NA</t>
        </is>
      </c>
      <c r="Q90" s="83" t="inlineStr">
        <is>
          <t>The register3 for PLL-LPF 
Default value are 2’b00
 The registers which are used to controlling additional delay of pll_lock
lock_sel [1:0] T delay
lock_sel [1:0]= 2’b00 4us
lock_sel [1:0]= 2’b01 8us
lock_sel [1:0]= 2’b10 16us
lock_sel [1:0]= 2’b11 32us</t>
        </is>
      </c>
      <c r="R90" s="83" t="inlineStr">
        <is>
          <t>0x001E</t>
        </is>
      </c>
      <c r="S90" s="83" t="inlineStr">
        <is>
          <t>[3:2]</t>
        </is>
      </c>
      <c r="T90" s="83" t="n"/>
    </row>
    <row r="91" ht="141.75" customHeight="1" s="26">
      <c r="A91" s="72" t="inlineStr">
        <is>
          <t>pll_model.pll_inst</t>
        </is>
      </c>
      <c r="B91" s="133" t="n"/>
      <c r="C91" s="83" t="inlineStr">
        <is>
          <t>core_pd.core_pd_inst</t>
        </is>
      </c>
      <c r="D91" s="83" t="inlineStr">
        <is>
          <t>clkout_div[1:0]</t>
        </is>
      </c>
      <c r="E91" s="83">
        <f>IF(AND(ISNUMBER(FIND("[",D91)),ISNUMBER(FIND("]",D91)),ISNUMBER(FIND(":",D91))),MID(D91,FIND("[",D91)+1,FIND(":",D91)-FIND("[",D91)-1)+1-MID(D91,FIND(":",D91)+1,FIND("]",D91)-FIND(":",D91)-1),IF(OR(ISNUMBER(FIND("[",D91)),ISNUMBER(FIND("]",D91)),ISNUMBER(FIND(":",D91))),"ERROR",1))</f>
        <v/>
      </c>
      <c r="F91" s="98" t="inlineStr">
        <is>
          <t>I</t>
        </is>
      </c>
      <c r="G91" s="83" t="n"/>
      <c r="H91" s="83" t="inlineStr">
        <is>
          <t>b01</t>
        </is>
      </c>
      <c r="I91" s="83" t="inlineStr">
        <is>
          <t>YES</t>
        </is>
      </c>
      <c r="J91" s="88" t="n"/>
      <c r="K91" s="88" t="n"/>
      <c r="L91" s="88" t="n"/>
      <c r="M91" s="89">
        <f>H91</f>
        <v/>
      </c>
      <c r="N91" s="88" t="n"/>
      <c r="O91" s="88">
        <f>IF(AND(OR(EXACT(F91,"I"),EXACT(F91,"O")),NOT(EXACT(P91,"NA"))),CONCATENATE("c_reg_test_sel_",RIGHT(IF(B91=0,LOOKUP(2,1/($B$2:B91&lt;&gt;0),$B$2:B91),B91),LEN(IF(B91=0,LOOKUP(2,1/($B$2:B91&lt;&gt;0),$B$2:B91),B91))-FIND(".",IF(B91=0,LOOKUP(2,1/($B$2:B91&lt;&gt;0),$B$2:B91),B91))),IF(0,CONCATENATE("&amp; !c_test_reg_pin_disable_",RIGHT(IF(B91=0,LOOKUP(2,1/($B$2:B91&lt;&gt;0),$B$2:B91),B91),LEN(IF(B91=0,LOOKUP(2,1/($B$2:B91&lt;&gt;0),$B$2:B91),B91))-FIND(".",IF(B91=0,LOOKUP(2,1/($B$2:B91&lt;&gt;0),$B$2:B91),B91)))),""),IF(P91,CONCATENATE("_grp_",P91),""),"/","c_pad_",RIGHT(IF(B91=0,LOOKUP(2,1/($B$2:B91&lt;&gt;0),$B$2:B91),B91),LEN(IF(B91=0,LOOKUP(2,1/($B$2:B91&lt;&gt;0),$B$2:B91),B91))-FIND(".",IF(B91=0,LOOKUP(2,1/($B$2:B91&lt;&gt;0),$B$2:B91),B91))),"_",IF(ISNUMBER(SEARCH("[",D91)),LEFT(D91,FIND("[",D91)-1),D91)),"")</f>
        <v/>
      </c>
      <c r="P91" s="90" t="n"/>
      <c r="Q91" s="83" t="inlineStr">
        <is>
          <t xml:space="preserve">out-divider of the clock, divider rate: 1/2/4/8
T
clkout_div [1:0] division
00 =1
01 =2
10 =4
11 =8
</t>
        </is>
      </c>
      <c r="R91" s="83" t="inlineStr">
        <is>
          <t>0x001E</t>
        </is>
      </c>
      <c r="S91" s="83" t="inlineStr">
        <is>
          <t>[1:0]</t>
        </is>
      </c>
      <c r="T91" s="83" t="n"/>
    </row>
    <row r="92" ht="204.75" customHeight="1" s="26">
      <c r="A92" s="72" t="inlineStr">
        <is>
          <t>pll_model.pll_inst</t>
        </is>
      </c>
      <c r="B92" s="133" t="n"/>
      <c r="C92" s="83" t="inlineStr">
        <is>
          <t>core_pd.core_pd_inst</t>
        </is>
      </c>
      <c r="D92" s="83" t="inlineStr">
        <is>
          <t>ref_div[2:0]</t>
        </is>
      </c>
      <c r="E92" s="83">
        <f>IF(AND(ISNUMBER(FIND("[",D92)),ISNUMBER(FIND("]",D92)),ISNUMBER(FIND(":",D92))),MID(D92,FIND("[",D92)+1,FIND(":",D92)-FIND("[",D92)-1)+1-MID(D92,FIND(":",D92)+1,FIND("]",D92)-FIND(":",D92)-1),IF(OR(ISNUMBER(FIND("[",D92)),ISNUMBER(FIND("]",D92)),ISNUMBER(FIND(":",D92))),"ERROR",1))</f>
        <v/>
      </c>
      <c r="F92" s="98" t="inlineStr">
        <is>
          <t>I</t>
        </is>
      </c>
      <c r="G92" s="83" t="n"/>
      <c r="H92" s="83" t="inlineStr">
        <is>
          <t>b101</t>
        </is>
      </c>
      <c r="I92" s="83" t="inlineStr">
        <is>
          <t>YES</t>
        </is>
      </c>
      <c r="J92" s="88" t="n"/>
      <c r="K92" s="88" t="n"/>
      <c r="L92" s="88" t="n"/>
      <c r="M92" s="89">
        <f>H92</f>
        <v/>
      </c>
      <c r="N92" s="88" t="n"/>
      <c r="O92" s="88">
        <f>IF(AND(OR(EXACT(F92,"I"),EXACT(F92,"O")),NOT(EXACT(P92,"NA"))),CONCATENATE("c_reg_test_sel_",RIGHT(IF(B92=0,LOOKUP(2,1/($B$2:B92&lt;&gt;0),$B$2:B92),B92),LEN(IF(B92=0,LOOKUP(2,1/($B$2:B92&lt;&gt;0),$B$2:B92),B92))-FIND(".",IF(B92=0,LOOKUP(2,1/($B$2:B92&lt;&gt;0),$B$2:B92),B92))),IF(0,CONCATENATE("&amp; !c_test_reg_pin_disable_",RIGHT(IF(B92=0,LOOKUP(2,1/($B$2:B92&lt;&gt;0),$B$2:B92),B92),LEN(IF(B92=0,LOOKUP(2,1/($B$2:B92&lt;&gt;0),$B$2:B92),B92))-FIND(".",IF(B92=0,LOOKUP(2,1/($B$2:B92&lt;&gt;0),$B$2:B92),B92)))),""),IF(P92,CONCATENATE("_grp_",P92),""),"/","c_pad_",RIGHT(IF(B92=0,LOOKUP(2,1/($B$2:B92&lt;&gt;0),$B$2:B92),B92),LEN(IF(B92=0,LOOKUP(2,1/($B$2:B92&lt;&gt;0),$B$2:B92),B92))-FIND(".",IF(B92=0,LOOKUP(2,1/($B$2:B92&lt;&gt;0),$B$2:B92),B92))),"_",IF(ISNUMBER(SEARCH("[",D92)),LEFT(D92,FIND("[",D92)-1),D92)),"")</f>
        <v/>
      </c>
      <c r="P92" s="90" t="inlineStr">
        <is>
          <t>NA</t>
        </is>
      </c>
      <c r="Q92" s="83" t="inlineStr">
        <is>
          <t xml:space="preserve">Pre-divider of the reference clock, divider rate: 1/2/3/4/5/6/7/8
Default:3’b011
ref_div[2:0] division
000 =1
001 =2
010 =3
011 =4
100 =5
101 =6
110 =7
111 =8
</t>
        </is>
      </c>
      <c r="R92" s="83" t="inlineStr">
        <is>
          <t>0x001E</t>
        </is>
      </c>
      <c r="S92" s="83" t="inlineStr">
        <is>
          <t>[6:4]</t>
        </is>
      </c>
      <c r="T92" s="83" t="n"/>
    </row>
    <row r="93" ht="47.25" customHeight="1" s="26">
      <c r="A93" s="72" t="inlineStr">
        <is>
          <t>pll_model.pll_inst</t>
        </is>
      </c>
      <c r="B93" s="133" t="n"/>
      <c r="C93" s="83" t="inlineStr">
        <is>
          <t>core_pd.core_pd_inst</t>
        </is>
      </c>
      <c r="D93" s="83" t="inlineStr">
        <is>
          <t>fb_sel</t>
        </is>
      </c>
      <c r="E93" s="83">
        <f>IF(AND(ISNUMBER(FIND("[",D93)),ISNUMBER(FIND("]",D93)),ISNUMBER(FIND(":",D93))),MID(D93,FIND("[",D93)+1,FIND(":",D93)-FIND("[",D93)-1)+1-MID(D93,FIND(":",D93)+1,FIND("]",D93)-FIND(":",D93)-1),IF(OR(ISNUMBER(FIND("[",D93)),ISNUMBER(FIND("]",D93)),ISNUMBER(FIND(":",D93))),"ERROR",1))</f>
        <v/>
      </c>
      <c r="F93" s="98" t="inlineStr">
        <is>
          <t>I</t>
        </is>
      </c>
      <c r="G93" s="83" t="n"/>
      <c r="H93" s="83" t="inlineStr">
        <is>
          <t>b0</t>
        </is>
      </c>
      <c r="I93" s="83" t="inlineStr">
        <is>
          <t>YES</t>
        </is>
      </c>
      <c r="J93" s="88" t="n"/>
      <c r="K93" s="88" t="n"/>
      <c r="L93" s="88" t="n"/>
      <c r="M93" s="89">
        <f>H93</f>
        <v/>
      </c>
      <c r="N93" s="88" t="n"/>
      <c r="O93" s="88">
        <f>IF(AND(OR(EXACT(F93,"I"),EXACT(F93,"O")),NOT(EXACT(P93,"NA"))),CONCATENATE("c_reg_test_sel_",RIGHT(IF(B93=0,LOOKUP(2,1/($B$2:B93&lt;&gt;0),$B$2:B93),B93),LEN(IF(B93=0,LOOKUP(2,1/($B$2:B93&lt;&gt;0),$B$2:B93),B93))-FIND(".",IF(B93=0,LOOKUP(2,1/($B$2:B93&lt;&gt;0),$B$2:B93),B93))),IF(0,CONCATENATE("&amp; !c_test_reg_pin_disable_",RIGHT(IF(B93=0,LOOKUP(2,1/($B$2:B93&lt;&gt;0),$B$2:B93),B93),LEN(IF(B93=0,LOOKUP(2,1/($B$2:B93&lt;&gt;0),$B$2:B93),B93))-FIND(".",IF(B93=0,LOOKUP(2,1/($B$2:B93&lt;&gt;0),$B$2:B93),B93)))),""),IF(P93,CONCATENATE("_grp_",P93),""),"/","c_pad_",RIGHT(IF(B93=0,LOOKUP(2,1/($B$2:B93&lt;&gt;0),$B$2:B93),B93),LEN(IF(B93=0,LOOKUP(2,1/($B$2:B93&lt;&gt;0),$B$2:B93),B93))-FIND(".",IF(B93=0,LOOKUP(2,1/($B$2:B93&lt;&gt;0),$B$2:B93),B93))),"_",IF(ISNUMBER(SEARCH("[",D93)),LEFT(D93,FIND("[",D93)-1),D93)),"")</f>
        <v/>
      </c>
      <c r="P93" s="90" t="inlineStr">
        <is>
          <t>NA</t>
        </is>
      </c>
      <c r="Q93" s="83" t="inlineStr">
        <is>
          <t>PLL feesback clock select: default=0
fb_sel=0,  feedback clock through signal div2
fb_sel=1,  feedback clock through differential div2</t>
        </is>
      </c>
      <c r="R93" s="83" t="inlineStr">
        <is>
          <t>0x001A</t>
        </is>
      </c>
      <c r="S93" s="83" t="inlineStr">
        <is>
          <t>[4]</t>
        </is>
      </c>
      <c r="T93" s="83" t="n"/>
    </row>
    <row r="94" ht="110.25" customHeight="1" s="26">
      <c r="A94" s="72" t="inlineStr">
        <is>
          <t>pll_model.pll_inst</t>
        </is>
      </c>
      <c r="B94" s="133" t="n"/>
      <c r="C94" s="83" t="inlineStr">
        <is>
          <t>core_pd.core_pd_inst</t>
        </is>
      </c>
      <c r="D94" s="83" t="inlineStr">
        <is>
          <t>fb_prediv[1:0]</t>
        </is>
      </c>
      <c r="E94" s="83">
        <f>IF(AND(ISNUMBER(FIND("[",D94)),ISNUMBER(FIND("]",D94)),ISNUMBER(FIND(":",D94))),MID(D94,FIND("[",D94)+1,FIND(":",D94)-FIND("[",D94)-1)+1-MID(D94,FIND(":",D94)+1,FIND("]",D94)-FIND(":",D94)-1),IF(OR(ISNUMBER(FIND("[",D94)),ISNUMBER(FIND("]",D94)),ISNUMBER(FIND(":",D94))),"ERROR",1))</f>
        <v/>
      </c>
      <c r="F94" s="98" t="inlineStr">
        <is>
          <t>I</t>
        </is>
      </c>
      <c r="G94" s="83" t="n"/>
      <c r="H94" s="83" t="inlineStr">
        <is>
          <t>b00</t>
        </is>
      </c>
      <c r="I94" s="83" t="inlineStr">
        <is>
          <t>YES</t>
        </is>
      </c>
      <c r="J94" s="88" t="n"/>
      <c r="K94" s="88" t="n"/>
      <c r="L94" s="88" t="n"/>
      <c r="M94" s="89">
        <f>H94</f>
        <v/>
      </c>
      <c r="N94" s="88" t="n"/>
      <c r="O94" s="88">
        <f>IF(AND(OR(EXACT(F94,"I"),EXACT(F94,"O")),NOT(EXACT(P94,"NA"))),CONCATENATE("c_reg_test_sel_",RIGHT(IF(B94=0,LOOKUP(2,1/($B$2:B94&lt;&gt;0),$B$2:B94),B94),LEN(IF(B94=0,LOOKUP(2,1/($B$2:B94&lt;&gt;0),$B$2:B94),B94))-FIND(".",IF(B94=0,LOOKUP(2,1/($B$2:B94&lt;&gt;0),$B$2:B94),B94))),IF(0,CONCATENATE("&amp; !c_test_reg_pin_disable_",RIGHT(IF(B94=0,LOOKUP(2,1/($B$2:B94&lt;&gt;0),$B$2:B94),B94),LEN(IF(B94=0,LOOKUP(2,1/($B$2:B94&lt;&gt;0),$B$2:B94),B94))-FIND(".",IF(B94=0,LOOKUP(2,1/($B$2:B94&lt;&gt;0),$B$2:B94),B94)))),""),IF(P94,CONCATENATE("_grp_",P94),""),"/","c_pad_",RIGHT(IF(B94=0,LOOKUP(2,1/($B$2:B94&lt;&gt;0),$B$2:B94),B94),LEN(IF(B94=0,LOOKUP(2,1/($B$2:B94&lt;&gt;0),$B$2:B94),B94))-FIND(".",IF(B94=0,LOOKUP(2,1/($B$2:B94&lt;&gt;0),$B$2:B94),B94))),"_",IF(ISNUMBER(SEARCH("[",D94)),LEFT(D94,FIND("[",D94)-1),D94)),"")</f>
        <v/>
      </c>
      <c r="P94" s="90" t="n"/>
      <c r="Q94" s="83" t="inlineStr">
        <is>
          <t xml:space="preserve">Pre-divider of the loop feedback clock, divider rate:1/2/4/8
fb_prediv[1:0] division
00 =1
01 =2
10 =4
11 =8
</t>
        </is>
      </c>
      <c r="R94" s="83" t="inlineStr">
        <is>
          <t>0x001F</t>
        </is>
      </c>
      <c r="S94" s="83" t="inlineStr">
        <is>
          <t>[5:4]</t>
        </is>
      </c>
      <c r="T94" s="83" t="n"/>
    </row>
    <row r="95" ht="63" customHeight="1" s="26">
      <c r="A95" s="72" t="inlineStr">
        <is>
          <t>pll_model.pll_inst</t>
        </is>
      </c>
      <c r="B95" s="133" t="n"/>
      <c r="C95" s="83" t="inlineStr">
        <is>
          <t>core_pd.core_pd_inst</t>
        </is>
      </c>
      <c r="D95" s="83" t="inlineStr">
        <is>
          <t>pfd_dly_tune</t>
        </is>
      </c>
      <c r="E95" s="83">
        <f>IF(AND(ISNUMBER(FIND("[",D95)),ISNUMBER(FIND("]",D95)),ISNUMBER(FIND(":",D95))),MID(D95,FIND("[",D95)+1,FIND(":",D95)-FIND("[",D95)-1)+1-MID(D95,FIND(":",D95)+1,FIND("]",D95)-FIND(":",D95)-1),IF(OR(ISNUMBER(FIND("[",D95)),ISNUMBER(FIND("]",D95)),ISNUMBER(FIND(":",D95))),"ERROR",1))</f>
        <v/>
      </c>
      <c r="F95" s="98" t="inlineStr">
        <is>
          <t>I</t>
        </is>
      </c>
      <c r="G95" s="83" t="n"/>
      <c r="H95" s="83" t="inlineStr">
        <is>
          <t>b0</t>
        </is>
      </c>
      <c r="I95" s="83" t="inlineStr">
        <is>
          <t>YES</t>
        </is>
      </c>
      <c r="J95" s="88" t="n"/>
      <c r="K95" s="88" t="n"/>
      <c r="L95" s="88" t="n"/>
      <c r="M95" s="89">
        <f>H95</f>
        <v/>
      </c>
      <c r="N95" s="88" t="n"/>
      <c r="O95" s="88">
        <f>IF(AND(OR(EXACT(F95,"I"),EXACT(F95,"O")),NOT(EXACT(P95,"NA"))),CONCATENATE("c_reg_test_sel_",RIGHT(IF(B95=0,LOOKUP(2,1/($B$2:B95&lt;&gt;0),$B$2:B95),B95),LEN(IF(B95=0,LOOKUP(2,1/($B$2:B95&lt;&gt;0),$B$2:B95),B95))-FIND(".",IF(B95=0,LOOKUP(2,1/($B$2:B95&lt;&gt;0),$B$2:B95),B95))),IF(0,CONCATENATE("&amp; !c_test_reg_pin_disable_",RIGHT(IF(B95=0,LOOKUP(2,1/($B$2:B95&lt;&gt;0),$B$2:B95),B95),LEN(IF(B95=0,LOOKUP(2,1/($B$2:B95&lt;&gt;0),$B$2:B95),B95))-FIND(".",IF(B95=0,LOOKUP(2,1/($B$2:B95&lt;&gt;0),$B$2:B95),B95)))),""),IF(P95,CONCATENATE("_grp_",P95),""),"/","c_pad_",RIGHT(IF(B95=0,LOOKUP(2,1/($B$2:B95&lt;&gt;0),$B$2:B95),B95),LEN(IF(B95=0,LOOKUP(2,1/($B$2:B95&lt;&gt;0),$B$2:B95),B95))-FIND(".",IF(B95=0,LOOKUP(2,1/($B$2:B95&lt;&gt;0),$B$2:B95),B95))),"_",IF(ISNUMBER(SEARCH("[",D95)),LEFT(D95,FIND("[",D95)-1),D95)),"")</f>
        <v/>
      </c>
      <c r="P95" s="90" t="inlineStr">
        <is>
          <t>NA</t>
        </is>
      </c>
      <c r="Q95" s="83" t="inlineStr">
        <is>
          <t xml:space="preserve">PFD delay tune: default=0
pfd_dly_tune  = “1” ,decrease the delay 
pfd_dly_tune =“0”, delay is 300ps， default
</t>
        </is>
      </c>
      <c r="R95" s="83" t="inlineStr">
        <is>
          <t>0x001D</t>
        </is>
      </c>
      <c r="S95" s="83" t="inlineStr">
        <is>
          <t>[4]</t>
        </is>
      </c>
      <c r="T95" s="83" t="n"/>
    </row>
    <row r="96" ht="189" customHeight="1" s="26">
      <c r="A96" s="72" t="inlineStr">
        <is>
          <t>pll_model.pll_inst</t>
        </is>
      </c>
      <c r="B96" s="133" t="n"/>
      <c r="C96" s="83" t="inlineStr">
        <is>
          <t>core_pd.core_pd_inst</t>
        </is>
      </c>
      <c r="D96" s="83" t="inlineStr">
        <is>
          <t>reg1[4:0]</t>
        </is>
      </c>
      <c r="E96" s="83">
        <f>IF(AND(ISNUMBER(FIND("[",D96)),ISNUMBER(FIND("]",D96)),ISNUMBER(FIND(":",D96))),MID(D96,FIND("[",D96)+1,FIND(":",D96)-FIND("[",D96)-1)+1-MID(D96,FIND(":",D96)+1,FIND("]",D96)-FIND(":",D96)-1),IF(OR(ISNUMBER(FIND("[",D96)),ISNUMBER(FIND("]",D96)),ISNUMBER(FIND(":",D96))),"ERROR",1))</f>
        <v/>
      </c>
      <c r="F96" s="98" t="inlineStr">
        <is>
          <t>I</t>
        </is>
      </c>
      <c r="G96" s="83" t="n"/>
      <c r="H96" s="83" t="inlineStr">
        <is>
          <t>b11111</t>
        </is>
      </c>
      <c r="I96" s="83" t="inlineStr">
        <is>
          <t>YES</t>
        </is>
      </c>
      <c r="J96" s="88" t="n"/>
      <c r="K96" s="88" t="n"/>
      <c r="L96" s="88" t="n"/>
      <c r="M96" s="89">
        <f>H96</f>
        <v/>
      </c>
      <c r="N96" s="88" t="n"/>
      <c r="O96" s="88">
        <f>IF(AND(OR(EXACT(F96,"I"),EXACT(F96,"O")),NOT(EXACT(P96,"NA"))),CONCATENATE("c_reg_test_sel_",RIGHT(IF(B96=0,LOOKUP(2,1/($B$2:B96&lt;&gt;0),$B$2:B96),B96),LEN(IF(B96=0,LOOKUP(2,1/($B$2:B96&lt;&gt;0),$B$2:B96),B96))-FIND(".",IF(B96=0,LOOKUP(2,1/($B$2:B96&lt;&gt;0),$B$2:B96),B96))),IF(0,CONCATENATE("&amp; !c_test_reg_pin_disable_",RIGHT(IF(B96=0,LOOKUP(2,1/($B$2:B96&lt;&gt;0),$B$2:B96),B96),LEN(IF(B96=0,LOOKUP(2,1/($B$2:B96&lt;&gt;0),$B$2:B96),B96))-FIND(".",IF(B96=0,LOOKUP(2,1/($B$2:B96&lt;&gt;0),$B$2:B96),B96)))),""),IF(P96,CONCATENATE("_grp_",P96),""),"/","c_pad_",RIGHT(IF(B96=0,LOOKUP(2,1/($B$2:B96&lt;&gt;0),$B$2:B96),B96),LEN(IF(B96=0,LOOKUP(2,1/($B$2:B96&lt;&gt;0),$B$2:B96),B96))-FIND(".",IF(B96=0,LOOKUP(2,1/($B$2:B96&lt;&gt;0),$B$2:B96),B96))),"_",IF(ISNUMBER(SEARCH("[",D96)),LEFT(D96,FIND("[",D96)-1),D96)),"")</f>
        <v/>
      </c>
      <c r="P96" s="90" t="n"/>
      <c r="Q96" s="83" t="inlineStr">
        <is>
          <t xml:space="preserve">The register 1 for PLL-VCO. 
Default value are 5’b0001_1111 （[6 is frobidden）
 The registers which are used to controlling V-freq of VCO(vcp=0.56V) 
isel_vco[4:0]    Default CLK_VCO  KVCO(GH/z)
isel_vco[4:0]= 6  200MHz              0.87
isel_vco[4:0]= 8   247MHz               1.03
isel_vco[4:0]= 12  325MHz               1.33
isel_vco[4:0]= 13 336MHz               1.4
isel_vco[4:0]= 15  378MHz               1.52
isel_vco[4:0]= 20 459MHz               1.82
isel_vco[4:0]= 31  600MHz               2.36
</t>
        </is>
      </c>
      <c r="R96" s="83" t="inlineStr">
        <is>
          <t>0x0018</t>
        </is>
      </c>
      <c r="S96" s="83" t="inlineStr">
        <is>
          <t>[4:0]</t>
        </is>
      </c>
      <c r="T96" s="83" t="n"/>
    </row>
    <row r="97" ht="126" customHeight="1" s="26">
      <c r="A97" s="72" t="inlineStr">
        <is>
          <t>pll_model.pll_inst</t>
        </is>
      </c>
      <c r="B97" s="133" t="n"/>
      <c r="C97" s="83" t="inlineStr">
        <is>
          <t>core_pd.core_pd_inst</t>
        </is>
      </c>
      <c r="D97" s="83" t="inlineStr">
        <is>
          <t>reg2[4:0]</t>
        </is>
      </c>
      <c r="E97" s="83">
        <f>IF(AND(ISNUMBER(FIND("[",D97)),ISNUMBER(FIND("]",D97)),ISNUMBER(FIND(":",D97))),MID(D97,FIND("[",D97)+1,FIND(":",D97)-FIND("[",D97)-1)+1-MID(D97,FIND(":",D97)+1,FIND("]",D97)-FIND(":",D97)-1),IF(OR(ISNUMBER(FIND("[",D97)),ISNUMBER(FIND("]",D97)),ISNUMBER(FIND(":",D97))),"ERROR",1))</f>
        <v/>
      </c>
      <c r="F97" s="98" t="inlineStr">
        <is>
          <t>I</t>
        </is>
      </c>
      <c r="G97" s="83" t="n"/>
      <c r="H97" s="83" t="inlineStr">
        <is>
          <t>b11111</t>
        </is>
      </c>
      <c r="I97" s="83" t="inlineStr">
        <is>
          <t>YES</t>
        </is>
      </c>
      <c r="J97" s="88" t="n"/>
      <c r="K97" s="88" t="n"/>
      <c r="L97" s="88" t="n"/>
      <c r="M97" s="89">
        <f>H97</f>
        <v/>
      </c>
      <c r="N97" s="88" t="n"/>
      <c r="O97" s="88">
        <f>IF(AND(OR(EXACT(F97,"I"),EXACT(F97,"O")),NOT(EXACT(P97,"NA"))),CONCATENATE("c_reg_test_sel_",RIGHT(IF(B97=0,LOOKUP(2,1/($B$2:B97&lt;&gt;0),$B$2:B97),B97),LEN(IF(B97=0,LOOKUP(2,1/($B$2:B97&lt;&gt;0),$B$2:B97),B97))-FIND(".",IF(B97=0,LOOKUP(2,1/($B$2:B97&lt;&gt;0),$B$2:B97),B97))),IF(0,CONCATENATE("&amp; !c_test_reg_pin_disable_",RIGHT(IF(B97=0,LOOKUP(2,1/($B$2:B97&lt;&gt;0),$B$2:B97),B97),LEN(IF(B97=0,LOOKUP(2,1/($B$2:B97&lt;&gt;0),$B$2:B97),B97))-FIND(".",IF(B97=0,LOOKUP(2,1/($B$2:B97&lt;&gt;0),$B$2:B97),B97)))),""),IF(P97,CONCATENATE("_grp_",P97),""),"/","c_pad_",RIGHT(IF(B97=0,LOOKUP(2,1/($B$2:B97&lt;&gt;0),$B$2:B97),B97),LEN(IF(B97=0,LOOKUP(2,1/($B$2:B97&lt;&gt;0),$B$2:B97),B97))-FIND(".",IF(B97=0,LOOKUP(2,1/($B$2:B97&lt;&gt;0),$B$2:B97),B97))),"_",IF(ISNUMBER(SEARCH("[",D97)),LEFT(D97,FIND("[",D97)-1),D97)),"")</f>
        <v/>
      </c>
      <c r="P97" s="90" t="inlineStr">
        <is>
          <t>NA</t>
        </is>
      </c>
      <c r="Q97" s="83" t="inlineStr">
        <is>
          <t xml:space="preserve">The register 2 for PLL-CP. 
Default value are 5’b0001_1111 
 The registers which are used to controlling current of charge pmup , icp_sel=0, step=1uA
isel_cp[4:0]  Cp current (uA)
isel_cp[4:0]= 6  6
isel_ cp [4:0]= 15 15
isel_ cp [4:0]= 31  31
</t>
        </is>
      </c>
      <c r="R97" s="83" t="inlineStr">
        <is>
          <t>0x0019</t>
        </is>
      </c>
      <c r="S97" s="83" t="inlineStr">
        <is>
          <t>[4:0]</t>
        </is>
      </c>
      <c r="T97" s="83" t="n"/>
    </row>
    <row r="98" ht="141.75" customHeight="1" s="26">
      <c r="A98" s="72" t="inlineStr">
        <is>
          <t>pll_model.pll_inst</t>
        </is>
      </c>
      <c r="B98" s="133" t="n"/>
      <c r="C98" s="83" t="inlineStr">
        <is>
          <t>core_pd.core_pd_inst</t>
        </is>
      </c>
      <c r="D98" s="83" t="inlineStr">
        <is>
          <t>icp_sel</t>
        </is>
      </c>
      <c r="E98" s="83">
        <f>IF(AND(ISNUMBER(FIND("[",D98)),ISNUMBER(FIND("]",D98)),ISNUMBER(FIND(":",D98))),MID(D98,FIND("[",D98)+1,FIND(":",D98)-FIND("[",D98)-1)+1-MID(D98,FIND(":",D98)+1,FIND("]",D98)-FIND(":",D98)-1),IF(OR(ISNUMBER(FIND("[",D98)),ISNUMBER(FIND("]",D98)),ISNUMBER(FIND(":",D98))),"ERROR",1))</f>
        <v/>
      </c>
      <c r="F98" s="98" t="inlineStr">
        <is>
          <t>I</t>
        </is>
      </c>
      <c r="G98" s="83" t="n"/>
      <c r="H98" s="83" t="inlineStr">
        <is>
          <t>b0</t>
        </is>
      </c>
      <c r="I98" s="83" t="inlineStr">
        <is>
          <t>YES</t>
        </is>
      </c>
      <c r="J98" s="88" t="n"/>
      <c r="K98" s="88" t="n"/>
      <c r="L98" s="88" t="n"/>
      <c r="M98" s="89">
        <f>H98</f>
        <v/>
      </c>
      <c r="N98" s="88" t="n"/>
      <c r="O98" s="88">
        <f>IF(AND(OR(EXACT(F98,"I"),EXACT(F98,"O")),NOT(EXACT(P98,"NA"))),CONCATENATE("c_reg_test_sel_",RIGHT(IF(B98=0,LOOKUP(2,1/($B$2:B98&lt;&gt;0),$B$2:B98),B98),LEN(IF(B98=0,LOOKUP(2,1/($B$2:B98&lt;&gt;0),$B$2:B98),B98))-FIND(".",IF(B98=0,LOOKUP(2,1/($B$2:B98&lt;&gt;0),$B$2:B98),B98))),IF(0,CONCATENATE("&amp; !c_test_reg_pin_disable_",RIGHT(IF(B98=0,LOOKUP(2,1/($B$2:B98&lt;&gt;0),$B$2:B98),B98),LEN(IF(B98=0,LOOKUP(2,1/($B$2:B98&lt;&gt;0),$B$2:B98),B98))-FIND(".",IF(B98=0,LOOKUP(2,1/($B$2:B98&lt;&gt;0),$B$2:B98),B98)))),""),IF(P98,CONCATENATE("_grp_",P98),""),"/","c_pad_",RIGHT(IF(B98=0,LOOKUP(2,1/($B$2:B98&lt;&gt;0),$B$2:B98),B98),LEN(IF(B98=0,LOOKUP(2,1/($B$2:B98&lt;&gt;0),$B$2:B98),B98))-FIND(".",IF(B98=0,LOOKUP(2,1/($B$2:B98&lt;&gt;0),$B$2:B98),B98))),"_",IF(ISNUMBER(SEARCH("[",D98)),LEFT(D98,FIND("[",D98)-1),D98)),"")</f>
        <v/>
      </c>
      <c r="P98" s="90" t="inlineStr">
        <is>
          <t>NA</t>
        </is>
      </c>
      <c r="Q98" s="83" t="inlineStr">
        <is>
          <t xml:space="preserve">Charge-pmup current control select Default value are 1’b0 
Choose a switch that provides a 50% current reduction
icp_sel=1, step=0.6uA
isel_cp[4:0]  Cp current (uA)
isel_cp[4:0]= 6  6*0.5
isel_ cp [4:0]= 15 15*0.5
isel_ cp [4:0]= 31  31*0.5
</t>
        </is>
      </c>
      <c r="R98" s="83" t="inlineStr">
        <is>
          <t>0x001D</t>
        </is>
      </c>
      <c r="S98" s="83" t="inlineStr">
        <is>
          <t>[3]</t>
        </is>
      </c>
      <c r="T98" s="83" t="n"/>
    </row>
    <row r="99" ht="63" customHeight="1" s="26">
      <c r="A99" s="72" t="inlineStr">
        <is>
          <t>pll_model.pll_inst</t>
        </is>
      </c>
      <c r="B99" s="133" t="n"/>
      <c r="C99" s="83" t="inlineStr">
        <is>
          <t>core_pd.core_pd_inst</t>
        </is>
      </c>
      <c r="D99" s="83" t="inlineStr">
        <is>
          <t>cp2_en</t>
        </is>
      </c>
      <c r="E99" s="83">
        <f>IF(AND(ISNUMBER(FIND("[",D99)),ISNUMBER(FIND("]",D99)),ISNUMBER(FIND(":",D99))),MID(D99,FIND("[",D99)+1,FIND(":",D99)-FIND("[",D99)-1)+1-MID(D99,FIND(":",D99)+1,FIND("]",D99)-FIND(":",D99)-1),IF(OR(ISNUMBER(FIND("[",D99)),ISNUMBER(FIND("]",D99)),ISNUMBER(FIND(":",D99))),"ERROR",1))</f>
        <v/>
      </c>
      <c r="F99" s="98" t="inlineStr">
        <is>
          <t>I</t>
        </is>
      </c>
      <c r="G99" s="83" t="n"/>
      <c r="H99" s="83" t="inlineStr">
        <is>
          <t>b1</t>
        </is>
      </c>
      <c r="I99" s="83" t="inlineStr">
        <is>
          <t>YES</t>
        </is>
      </c>
      <c r="J99" s="88" t="n"/>
      <c r="K99" s="88" t="n"/>
      <c r="L99" s="88" t="n"/>
      <c r="M99" s="89">
        <f>H99</f>
        <v/>
      </c>
      <c r="N99" s="88" t="n"/>
      <c r="O99" s="88">
        <f>IF(AND(OR(EXACT(F99,"I"),EXACT(F99,"O")),NOT(EXACT(P99,"NA"))),CONCATENATE("c_reg_test_sel_",RIGHT(IF(B99=0,LOOKUP(2,1/($B$2:B99&lt;&gt;0),$B$2:B99),B99),LEN(IF(B99=0,LOOKUP(2,1/($B$2:B99&lt;&gt;0),$B$2:B99),B99))-FIND(".",IF(B99=0,LOOKUP(2,1/($B$2:B99&lt;&gt;0),$B$2:B99),B99))),IF(0,CONCATENATE("&amp; !c_test_reg_pin_disable_",RIGHT(IF(B99=0,LOOKUP(2,1/($B$2:B99&lt;&gt;0),$B$2:B99),B99),LEN(IF(B99=0,LOOKUP(2,1/($B$2:B99&lt;&gt;0),$B$2:B99),B99))-FIND(".",IF(B99=0,LOOKUP(2,1/($B$2:B99&lt;&gt;0),$B$2:B99),B99)))),""),IF(P99,CONCATENATE("_grp_",P99),""),"/","c_pad_",RIGHT(IF(B99=0,LOOKUP(2,1/($B$2:B99&lt;&gt;0),$B$2:B99),B99),LEN(IF(B99=0,LOOKUP(2,1/($B$2:B99&lt;&gt;0),$B$2:B99),B99))-FIND(".",IF(B99=0,LOOKUP(2,1/($B$2:B99&lt;&gt;0),$B$2:B99),B99))),"_",IF(ISNUMBER(SEARCH("[",D99)),LEFT(D99,FIND("[",D99)-1),D99)),"")</f>
        <v/>
      </c>
      <c r="P99" s="90" t="inlineStr">
        <is>
          <t>NA</t>
        </is>
      </c>
      <c r="Q99" s="83" t="inlineStr">
        <is>
          <t xml:space="preserve">LPE chargepump2 enable
cap_sel=1: cp2 enable (default)
cap_sel=0: cap2 disable
</t>
        </is>
      </c>
      <c r="R99" s="83" t="inlineStr">
        <is>
          <t>0x001D</t>
        </is>
      </c>
      <c r="S99" s="83" t="inlineStr">
        <is>
          <t>[1]</t>
        </is>
      </c>
      <c r="T99" s="83" t="n"/>
    </row>
    <row r="100" ht="63" customHeight="1" s="26">
      <c r="A100" s="72" t="inlineStr">
        <is>
          <t>pll_model.pll_inst</t>
        </is>
      </c>
      <c r="B100" s="133" t="n"/>
      <c r="C100" s="83" t="inlineStr">
        <is>
          <t>core_pd.core_pd_inst</t>
        </is>
      </c>
      <c r="D100" s="83" t="inlineStr">
        <is>
          <t>cap_sel</t>
        </is>
      </c>
      <c r="E100" s="83">
        <f>IF(AND(ISNUMBER(FIND("[",D100)),ISNUMBER(FIND("]",D100)),ISNUMBER(FIND(":",D100))),MID(D100,FIND("[",D100)+1,FIND(":",D100)-FIND("[",D100)-1)+1-MID(D100,FIND(":",D100)+1,FIND("]",D100)-FIND(":",D100)-1),IF(OR(ISNUMBER(FIND("[",D100)),ISNUMBER(FIND("]",D100)),ISNUMBER(FIND(":",D100))),"ERROR",1))</f>
        <v/>
      </c>
      <c r="F100" s="98" t="inlineStr">
        <is>
          <t>I</t>
        </is>
      </c>
      <c r="G100" s="83" t="n"/>
      <c r="H100" s="83" t="inlineStr">
        <is>
          <t>b1</t>
        </is>
      </c>
      <c r="I100" s="83" t="inlineStr">
        <is>
          <t>YES</t>
        </is>
      </c>
      <c r="J100" s="88" t="n"/>
      <c r="K100" s="88" t="n"/>
      <c r="L100" s="88" t="n"/>
      <c r="M100" s="89">
        <f>H100</f>
        <v/>
      </c>
      <c r="N100" s="88" t="n"/>
      <c r="O100" s="88">
        <f>IF(AND(OR(EXACT(F100,"I"),EXACT(F100,"O")),NOT(EXACT(P100,"NA"))),CONCATENATE("c_reg_test_sel_",RIGHT(IF(B100=0,LOOKUP(2,1/($B$2:B100&lt;&gt;0),$B$2:B100),B100),LEN(IF(B100=0,LOOKUP(2,1/($B$2:B100&lt;&gt;0),$B$2:B100),B100))-FIND(".",IF(B100=0,LOOKUP(2,1/($B$2:B100&lt;&gt;0),$B$2:B100),B100))),IF(0,CONCATENATE("&amp; !c_test_reg_pin_disable_",RIGHT(IF(B100=0,LOOKUP(2,1/($B$2:B100&lt;&gt;0),$B$2:B100),B100),LEN(IF(B100=0,LOOKUP(2,1/($B$2:B100&lt;&gt;0),$B$2:B100),B100))-FIND(".",IF(B100=0,LOOKUP(2,1/($B$2:B100&lt;&gt;0),$B$2:B100),B100)))),""),IF(P100,CONCATENATE("_grp_",P100),""),"/","c_pad_",RIGHT(IF(B100=0,LOOKUP(2,1/($B$2:B100&lt;&gt;0),$B$2:B100),B100),LEN(IF(B100=0,LOOKUP(2,1/($B$2:B100&lt;&gt;0),$B$2:B100),B100))-FIND(".",IF(B100=0,LOOKUP(2,1/($B$2:B100&lt;&gt;0),$B$2:B100),B100))),"_",IF(ISNUMBER(SEARCH("[",D100)),LEFT(D100,FIND("[",D100)-1),D100)),"")</f>
        <v/>
      </c>
      <c r="P100" s="90" t="inlineStr">
        <is>
          <t>NA</t>
        </is>
      </c>
      <c r="Q100" s="83" t="inlineStr">
        <is>
          <t xml:space="preserve">LPF cap2 enable, 
cap_sel=1: cap2 connect (default)
cap_sel=0: cap2 disconnect
</t>
        </is>
      </c>
      <c r="R100" s="83" t="inlineStr">
        <is>
          <t>0x001D</t>
        </is>
      </c>
      <c r="S100" s="83" t="inlineStr">
        <is>
          <t>[2]</t>
        </is>
      </c>
      <c r="T100" s="83" t="n"/>
    </row>
    <row r="101" ht="47.25" customHeight="1" s="26">
      <c r="A101" s="72" t="inlineStr">
        <is>
          <t>pll_model.pll_inst</t>
        </is>
      </c>
      <c r="B101" s="133" t="n"/>
      <c r="C101" s="83" t="inlineStr">
        <is>
          <t>core_pd.core_pd_inst</t>
        </is>
      </c>
      <c r="D101" s="83" t="inlineStr">
        <is>
          <t>filt_byp</t>
        </is>
      </c>
      <c r="E101" s="83">
        <f>IF(AND(ISNUMBER(FIND("[",D101)),ISNUMBER(FIND("]",D101)),ISNUMBER(FIND(":",D101))),MID(D101,FIND("[",D101)+1,FIND(":",D101)-FIND("[",D101)-1)+1-MID(D101,FIND(":",D101)+1,FIND("]",D101)-FIND(":",D101)-1),IF(OR(ISNUMBER(FIND("[",D101)),ISNUMBER(FIND("]",D101)),ISNUMBER(FIND(":",D101))),"ERROR",1))</f>
        <v/>
      </c>
      <c r="F101" s="98" t="inlineStr">
        <is>
          <t>I</t>
        </is>
      </c>
      <c r="G101" s="83" t="n"/>
      <c r="H101" s="83" t="inlineStr">
        <is>
          <t>b0</t>
        </is>
      </c>
      <c r="I101" s="83" t="inlineStr">
        <is>
          <t>YES</t>
        </is>
      </c>
      <c r="J101" s="88" t="n"/>
      <c r="K101" s="88" t="n"/>
      <c r="L101" s="88" t="n"/>
      <c r="M101" s="89">
        <f>H101</f>
        <v/>
      </c>
      <c r="N101" s="88" t="n"/>
      <c r="O101" s="88">
        <f>IF(AND(OR(EXACT(F101,"I"),EXACT(F101,"O")),NOT(EXACT(P101,"NA"))),CONCATENATE("c_reg_test_sel_",RIGHT(IF(B101=0,LOOKUP(2,1/($B$2:B101&lt;&gt;0),$B$2:B101),B101),LEN(IF(B101=0,LOOKUP(2,1/($B$2:B101&lt;&gt;0),$B$2:B101),B101))-FIND(".",IF(B101=0,LOOKUP(2,1/($B$2:B101&lt;&gt;0),$B$2:B101),B101))),IF(0,CONCATENATE("&amp; !c_test_reg_pin_disable_",RIGHT(IF(B101=0,LOOKUP(2,1/($B$2:B101&lt;&gt;0),$B$2:B101),B101),LEN(IF(B101=0,LOOKUP(2,1/($B$2:B101&lt;&gt;0),$B$2:B101),B101))-FIND(".",IF(B101=0,LOOKUP(2,1/($B$2:B101&lt;&gt;0),$B$2:B101),B101)))),""),IF(P101,CONCATENATE("_grp_",P101),""),"/","c_pad_",RIGHT(IF(B101=0,LOOKUP(2,1/($B$2:B101&lt;&gt;0),$B$2:B101),B101),LEN(IF(B101=0,LOOKUP(2,1/($B$2:B101&lt;&gt;0),$B$2:B101),B101))-FIND(".",IF(B101=0,LOOKUP(2,1/($B$2:B101&lt;&gt;0),$B$2:B101),B101))),"_",IF(ISNUMBER(SEARCH("[",D101)),LEFT(D101,FIND("[",D101)-1),D101)),"")</f>
        <v/>
      </c>
      <c r="P101" s="90" t="inlineStr">
        <is>
          <t>NA</t>
        </is>
      </c>
      <c r="Q101" s="83" t="inlineStr">
        <is>
          <t xml:space="preserve">Filter bypass (reserve) 
filt_byp=0 (default)
</t>
        </is>
      </c>
      <c r="R101" s="83" t="inlineStr">
        <is>
          <t>0x001D</t>
        </is>
      </c>
      <c r="S101" s="83" t="inlineStr">
        <is>
          <t>[0]</t>
        </is>
      </c>
      <c r="T101" s="83" t="n"/>
    </row>
    <row r="102" ht="141.75" customHeight="1" s="26">
      <c r="A102" s="72" t="inlineStr">
        <is>
          <t>pll_model.pll_inst</t>
        </is>
      </c>
      <c r="B102" s="133" t="n"/>
      <c r="C102" s="83" t="inlineStr">
        <is>
          <t>core_pd.core_pd_inst</t>
        </is>
      </c>
      <c r="D102" s="83" t="inlineStr">
        <is>
          <t>reg3[2:0]</t>
        </is>
      </c>
      <c r="E102" s="83">
        <f>IF(AND(ISNUMBER(FIND("[",D102)),ISNUMBER(FIND("]",D102)),ISNUMBER(FIND(":",D102))),MID(D102,FIND("[",D102)+1,FIND(":",D102)-FIND("[",D102)-1)+1-MID(D102,FIND(":",D102)+1,FIND("]",D102)-FIND(":",D102)-1),IF(OR(ISNUMBER(FIND("[",D102)),ISNUMBER(FIND("]",D102)),ISNUMBER(FIND(":",D102))),"ERROR",1))</f>
        <v/>
      </c>
      <c r="F102" s="98" t="inlineStr">
        <is>
          <t>I</t>
        </is>
      </c>
      <c r="G102" s="83" t="n"/>
      <c r="H102" s="83" t="inlineStr">
        <is>
          <t>b100</t>
        </is>
      </c>
      <c r="I102" s="83" t="inlineStr">
        <is>
          <t>YES</t>
        </is>
      </c>
      <c r="J102" s="88" t="n"/>
      <c r="K102" s="88" t="n"/>
      <c r="L102" s="88" t="n"/>
      <c r="M102" s="89">
        <f>H102</f>
        <v/>
      </c>
      <c r="N102" s="88" t="n"/>
      <c r="O102" s="88">
        <f>IF(AND(OR(EXACT(F102,"I"),EXACT(F102,"O")),NOT(EXACT(P102,"NA"))),CONCATENATE("c_reg_test_sel_",RIGHT(IF(B102=0,LOOKUP(2,1/($B$2:B102&lt;&gt;0),$B$2:B102),B102),LEN(IF(B102=0,LOOKUP(2,1/($B$2:B102&lt;&gt;0),$B$2:B102),B102))-FIND(".",IF(B102=0,LOOKUP(2,1/($B$2:B102&lt;&gt;0),$B$2:B102),B102))),IF(0,CONCATENATE("&amp; !c_test_reg_pin_disable_",RIGHT(IF(B102=0,LOOKUP(2,1/($B$2:B102&lt;&gt;0),$B$2:B102),B102),LEN(IF(B102=0,LOOKUP(2,1/($B$2:B102&lt;&gt;0),$B$2:B102),B102))-FIND(".",IF(B102=0,LOOKUP(2,1/($B$2:B102&lt;&gt;0),$B$2:B102),B102)))),""),IF(P102,CONCATENATE("_grp_",P102),""),"/","c_pad_",RIGHT(IF(B102=0,LOOKUP(2,1/($B$2:B102&lt;&gt;0),$B$2:B102),B102),LEN(IF(B102=0,LOOKUP(2,1/($B$2:B102&lt;&gt;0),$B$2:B102),B102))-FIND(".",IF(B102=0,LOOKUP(2,1/($B$2:B102&lt;&gt;0),$B$2:B102),B102))),"_",IF(ISNUMBER(SEARCH("[",D102)),LEFT(D102,FIND("[",D102)-1),D102)),"")</f>
        <v/>
      </c>
      <c r="P102" s="90" t="inlineStr">
        <is>
          <t>NA</t>
        </is>
      </c>
      <c r="Q102" s="83" t="inlineStr">
        <is>
          <t xml:space="preserve">The register3 for PLL-LPF 
Default value are 3’b100
 The registers which are used to controlling resistor of LPF
reg3[2:0] R(kΩ)
reg3[2:0]= 3’b000 20
reg3[2:0]= 3’b001 20||80
reg3[2:0]= 3’b010 20||40
reg3[2:0]= 3’b100 20||20=10
</t>
        </is>
      </c>
      <c r="R102" s="83" t="inlineStr">
        <is>
          <t>0x001A</t>
        </is>
      </c>
      <c r="S102" s="83" t="inlineStr">
        <is>
          <t>[2:0]</t>
        </is>
      </c>
      <c r="T102" s="83" t="n"/>
    </row>
    <row r="103" ht="141.75" customHeight="1" s="26">
      <c r="A103" s="72" t="inlineStr">
        <is>
          <t>pll_model.pll_inst</t>
        </is>
      </c>
      <c r="B103" s="133" t="n"/>
      <c r="C103" s="83" t="inlineStr">
        <is>
          <t>core_pd.core_pd_inst</t>
        </is>
      </c>
      <c r="D103" s="83" t="inlineStr">
        <is>
          <t>reg4[2:0]</t>
        </is>
      </c>
      <c r="E103" s="83">
        <f>IF(AND(ISNUMBER(FIND("[",D103)),ISNUMBER(FIND("]",D103)),ISNUMBER(FIND(":",D103))),MID(D103,FIND("[",D103)+1,FIND(":",D103)-FIND("[",D103)-1)+1-MID(D103,FIND(":",D103)+1,FIND("]",D103)-FIND(":",D103)-1),IF(OR(ISNUMBER(FIND("[",D103)),ISNUMBER(FIND("]",D103)),ISNUMBER(FIND(":",D103))),"ERROR",1))</f>
        <v/>
      </c>
      <c r="F103" s="98" t="inlineStr">
        <is>
          <t>I</t>
        </is>
      </c>
      <c r="G103" s="83" t="n"/>
      <c r="H103" s="83" t="inlineStr">
        <is>
          <t>b100</t>
        </is>
      </c>
      <c r="I103" s="83" t="inlineStr">
        <is>
          <t>YES</t>
        </is>
      </c>
      <c r="J103" s="88" t="n"/>
      <c r="K103" s="88" t="n"/>
      <c r="L103" s="88" t="n"/>
      <c r="M103" s="89">
        <f>H103</f>
        <v/>
      </c>
      <c r="N103" s="88" t="n"/>
      <c r="O103" s="88">
        <f>IF(AND(OR(EXACT(F103,"I"),EXACT(F103,"O")),NOT(EXACT(P103,"NA"))),CONCATENATE("c_reg_test_sel_",RIGHT(IF(B103=0,LOOKUP(2,1/($B$2:B103&lt;&gt;0),$B$2:B103),B103),LEN(IF(B103=0,LOOKUP(2,1/($B$2:B103&lt;&gt;0),$B$2:B103),B103))-FIND(".",IF(B103=0,LOOKUP(2,1/($B$2:B103&lt;&gt;0),$B$2:B103),B103))),IF(0,CONCATENATE("&amp; !c_test_reg_pin_disable_",RIGHT(IF(B103=0,LOOKUP(2,1/($B$2:B103&lt;&gt;0),$B$2:B103),B103),LEN(IF(B103=0,LOOKUP(2,1/($B$2:B103&lt;&gt;0),$B$2:B103),B103))-FIND(".",IF(B103=0,LOOKUP(2,1/($B$2:B103&lt;&gt;0),$B$2:B103),B103)))),""),IF(P103,CONCATENATE("_grp_",P103),""),"/","c_pad_",RIGHT(IF(B103=0,LOOKUP(2,1/($B$2:B103&lt;&gt;0),$B$2:B103),B103),LEN(IF(B103=0,LOOKUP(2,1/($B$2:B103&lt;&gt;0),$B$2:B103),B103))-FIND(".",IF(B103=0,LOOKUP(2,1/($B$2:B103&lt;&gt;0),$B$2:B103),B103))),"_",IF(ISNUMBER(SEARCH("[",D103)),LEFT(D103,FIND("[",D103)-1),D103)),"")</f>
        <v/>
      </c>
      <c r="P103" s="90" t="n"/>
      <c r="Q103" s="83" t="inlineStr">
        <is>
          <t xml:space="preserve">The register4 for PLL-LPF 
Default value are 3’b100
 The registers which are used to controlling resistor of LPF
reg4[2:0] R(kΩ)
reg4[2:0]= 3’b000 14
reg4[2:0]= 3’b001 14||56
reg4[2:0]= 3’b010 14||28
reg4[2:0]= 3’b100 14||14=7
</t>
        </is>
      </c>
      <c r="R103" s="83" t="inlineStr">
        <is>
          <t>0x001B</t>
        </is>
      </c>
      <c r="S103" s="83" t="inlineStr">
        <is>
          <t>[2:0]</t>
        </is>
      </c>
      <c r="T103" s="83" t="n"/>
    </row>
    <row r="104" ht="157.5" customHeight="1" s="26">
      <c r="A104" s="72" t="inlineStr">
        <is>
          <t>pll_model.pll_inst</t>
        </is>
      </c>
      <c r="B104" s="133" t="n"/>
      <c r="C104" s="83" t="inlineStr">
        <is>
          <t>core_pd.core_pd_inst</t>
        </is>
      </c>
      <c r="D104" s="83" t="inlineStr">
        <is>
          <t>reg_ldo[7:0]</t>
        </is>
      </c>
      <c r="E104" s="83">
        <f>IF(AND(ISNUMBER(FIND("[",D104)),ISNUMBER(FIND("]",D104)),ISNUMBER(FIND(":",D104))),MID(D104,FIND("[",D104)+1,FIND(":",D104)-FIND("[",D104)-1)+1-MID(D104,FIND(":",D104)+1,FIND("]",D104)-FIND(":",D104)-1),IF(OR(ISNUMBER(FIND("[",D104)),ISNUMBER(FIND("]",D104)),ISNUMBER(FIND(":",D104))),"ERROR",1))</f>
        <v/>
      </c>
      <c r="F104" s="98" t="inlineStr">
        <is>
          <t>I</t>
        </is>
      </c>
      <c r="G104" s="83" t="n"/>
      <c r="H104" s="83" t="inlineStr">
        <is>
          <t>b011</t>
        </is>
      </c>
      <c r="I104" s="83" t="inlineStr">
        <is>
          <t>YES</t>
        </is>
      </c>
      <c r="J104" s="88" t="n"/>
      <c r="K104" s="88" t="n"/>
      <c r="L104" s="88" t="n"/>
      <c r="M104" s="89">
        <f>H104</f>
        <v/>
      </c>
      <c r="N104" s="88" t="n"/>
      <c r="O104" s="88">
        <f>IF(AND(OR(EXACT(F104,"I"),EXACT(F104,"O")),NOT(EXACT(P104,"NA"))),CONCATENATE("c_reg_test_sel_",RIGHT(IF(B104=0,LOOKUP(2,1/($B$2:B104&lt;&gt;0),$B$2:B104),B104),LEN(IF(B104=0,LOOKUP(2,1/($B$2:B104&lt;&gt;0),$B$2:B104),B104))-FIND(".",IF(B104=0,LOOKUP(2,1/($B$2:B104&lt;&gt;0),$B$2:B104),B104))),IF(0,CONCATENATE("&amp; !c_test_reg_pin_disable_",RIGHT(IF(B104=0,LOOKUP(2,1/($B$2:B104&lt;&gt;0),$B$2:B104),B104),LEN(IF(B104=0,LOOKUP(2,1/($B$2:B104&lt;&gt;0),$B$2:B104),B104))-FIND(".",IF(B104=0,LOOKUP(2,1/($B$2:B104&lt;&gt;0),$B$2:B104),B104)))),""),IF(P104,CONCATENATE("_grp_",P104),""),"/","c_pad_",RIGHT(IF(B104=0,LOOKUP(2,1/($B$2:B104&lt;&gt;0),$B$2:B104),B104),LEN(IF(B104=0,LOOKUP(2,1/($B$2:B104&lt;&gt;0),$B$2:B104),B104))-FIND(".",IF(B104=0,LOOKUP(2,1/($B$2:B104&lt;&gt;0),$B$2:B104),B104))),"_",IF(ISNUMBER(SEARCH("[",D104)),LEFT(D104,FIND("[",D104)-1),D104)),"")</f>
        <v/>
      </c>
      <c r="P104" s="90" t="n"/>
      <c r="Q104" s="83" t="inlineStr">
        <is>
          <t xml:space="preserve">reg_ldo[7:3] reserved
reg_ldo[2:0]Default value are 3’b011
reg_ldo[0]=1-] PLL_LDO enable
reg_ldo[0]=0-] PLL_LDO disable
reg_ldo[2:1] drive load
reg_ldo[2:1]= 2’b01 2mA
reg_ldo[2:1]= 2’b11 4mA
</t>
        </is>
      </c>
      <c r="R104" s="83" t="inlineStr">
        <is>
          <t>0x001D</t>
        </is>
      </c>
      <c r="S104" s="83" t="inlineStr">
        <is>
          <t>[7:0]</t>
        </is>
      </c>
      <c r="T104" s="83" t="n"/>
    </row>
    <row r="105" ht="47.25" customHeight="1" s="26">
      <c r="A105" s="72" t="inlineStr">
        <is>
          <t>pll_model.pll_inst</t>
        </is>
      </c>
      <c r="B105" s="133" t="n"/>
      <c r="C105" s="83" t="inlineStr">
        <is>
          <t>core_pd.core_pd_inst</t>
        </is>
      </c>
      <c r="D105" s="83" t="inlineStr">
        <is>
          <t>byp_en</t>
        </is>
      </c>
      <c r="E105" s="83">
        <f>IF(AND(ISNUMBER(FIND("[",D105)),ISNUMBER(FIND("]",D105)),ISNUMBER(FIND(":",D105))),MID(D105,FIND("[",D105)+1,FIND(":",D105)-FIND("[",D105)-1)+1-MID(D105,FIND(":",D105)+1,FIND("]",D105)-FIND(":",D105)-1),IF(OR(ISNUMBER(FIND("[",D105)),ISNUMBER(FIND("]",D105)),ISNUMBER(FIND(":",D105))),"ERROR",1))</f>
        <v/>
      </c>
      <c r="F105" s="98" t="inlineStr">
        <is>
          <t>I</t>
        </is>
      </c>
      <c r="G105" s="83" t="n"/>
      <c r="H105" s="83" t="inlineStr">
        <is>
          <t>b0</t>
        </is>
      </c>
      <c r="I105" s="83" t="inlineStr">
        <is>
          <t>YES</t>
        </is>
      </c>
      <c r="J105" s="88" t="n"/>
      <c r="K105" s="88" t="n"/>
      <c r="L105" s="88" t="n"/>
      <c r="M105" s="89">
        <f>H105</f>
        <v/>
      </c>
      <c r="N105" s="88" t="n"/>
      <c r="O105" s="88">
        <f>IF(AND(OR(EXACT(F105,"I"),EXACT(F105,"O")),NOT(EXACT(P105,"NA"))),CONCATENATE("c_reg_test_sel_",RIGHT(IF(B105=0,LOOKUP(2,1/($B$2:B105&lt;&gt;0),$B$2:B105),B105),LEN(IF(B105=0,LOOKUP(2,1/($B$2:B105&lt;&gt;0),$B$2:B105),B105))-FIND(".",IF(B105=0,LOOKUP(2,1/($B$2:B105&lt;&gt;0),$B$2:B105),B105))),IF(0,CONCATENATE("&amp; !c_test_reg_pin_disable_",RIGHT(IF(B105=0,LOOKUP(2,1/($B$2:B105&lt;&gt;0),$B$2:B105),B105),LEN(IF(B105=0,LOOKUP(2,1/($B$2:B105&lt;&gt;0),$B$2:B105),B105))-FIND(".",IF(B105=0,LOOKUP(2,1/($B$2:B105&lt;&gt;0),$B$2:B105),B105)))),""),IF(P105,CONCATENATE("_grp_",P105),""),"/","c_pad_",RIGHT(IF(B105=0,LOOKUP(2,1/($B$2:B105&lt;&gt;0),$B$2:B105),B105),LEN(IF(B105=0,LOOKUP(2,1/($B$2:B105&lt;&gt;0),$B$2:B105),B105))-FIND(".",IF(B105=0,LOOKUP(2,1/($B$2:B105&lt;&gt;0),$B$2:B105),B105))),"_",IF(ISNUMBER(SEARCH("[",D105)),LEFT(D105,FIND("[",D105)-1),D105)),"")</f>
        <v/>
      </c>
      <c r="P105" s="90" t="inlineStr">
        <is>
          <t>NA</t>
        </is>
      </c>
      <c r="Q105" s="83" t="inlineStr">
        <is>
          <t>reset signal of PLL, low active. ,default=0
byp_en = “0” PLL  work
byp_en = “1”  bypass PLL CLKOUT=clk_ext or clk_soc</t>
        </is>
      </c>
      <c r="R105" s="83" t="inlineStr">
        <is>
          <t>0x001F</t>
        </is>
      </c>
      <c r="S105" s="83" t="inlineStr">
        <is>
          <t>[2]</t>
        </is>
      </c>
      <c r="T105" s="83" t="n"/>
    </row>
    <row r="106">
      <c r="A106" s="72" t="inlineStr">
        <is>
          <t>pll_model.pll_inst</t>
        </is>
      </c>
      <c r="B106" s="133" t="n"/>
      <c r="C106" s="83" t="inlineStr">
        <is>
          <t>core_pd.core_pd_inst</t>
        </is>
      </c>
      <c r="D106" s="83" t="inlineStr">
        <is>
          <t>test_en</t>
        </is>
      </c>
      <c r="E106" s="83">
        <f>IF(AND(ISNUMBER(FIND("[",D106)),ISNUMBER(FIND("]",D106)),ISNUMBER(FIND(":",D106))),MID(D106,FIND("[",D106)+1,FIND(":",D106)-FIND("[",D106)-1)+1-MID(D106,FIND(":",D106)+1,FIND("]",D106)-FIND(":",D106)-1),IF(OR(ISNUMBER(FIND("[",D106)),ISNUMBER(FIND("]",D106)),ISNUMBER(FIND(":",D106))),"ERROR",1))</f>
        <v/>
      </c>
      <c r="F106" s="98" t="inlineStr">
        <is>
          <t>I</t>
        </is>
      </c>
      <c r="G106" s="83" t="n"/>
      <c r="H106" s="83" t="inlineStr">
        <is>
          <t>b0</t>
        </is>
      </c>
      <c r="I106" s="83" t="inlineStr">
        <is>
          <t>YES</t>
        </is>
      </c>
      <c r="J106" s="88" t="n"/>
      <c r="K106" s="88" t="n"/>
      <c r="L106" s="88" t="n"/>
      <c r="M106" s="89">
        <f>H106</f>
        <v/>
      </c>
      <c r="N106" s="88" t="n"/>
      <c r="O106" s="88">
        <f>IF(AND(OR(EXACT(F106,"I"),EXACT(F106,"O")),NOT(EXACT(P106,"NA"))),CONCATENATE("c_reg_test_sel_",RIGHT(IF(B106=0,LOOKUP(2,1/($B$2:B106&lt;&gt;0),$B$2:B106),B106),LEN(IF(B106=0,LOOKUP(2,1/($B$2:B106&lt;&gt;0),$B$2:B106),B106))-FIND(".",IF(B106=0,LOOKUP(2,1/($B$2:B106&lt;&gt;0),$B$2:B106),B106))),IF(0,CONCATENATE("&amp; !c_test_reg_pin_disable_",RIGHT(IF(B106=0,LOOKUP(2,1/($B$2:B106&lt;&gt;0),$B$2:B106),B106),LEN(IF(B106=0,LOOKUP(2,1/($B$2:B106&lt;&gt;0),$B$2:B106),B106))-FIND(".",IF(B106=0,LOOKUP(2,1/($B$2:B106&lt;&gt;0),$B$2:B106),B106)))),""),IF(P106,CONCATENATE("_grp_",P106),""),"/","c_pad_",RIGHT(IF(B106=0,LOOKUP(2,1/($B$2:B106&lt;&gt;0),$B$2:B106),B106),LEN(IF(B106=0,LOOKUP(2,1/($B$2:B106&lt;&gt;0),$B$2:B106),B106))-FIND(".",IF(B106=0,LOOKUP(2,1/($B$2:B106&lt;&gt;0),$B$2:B106),B106))),"_",IF(ISNUMBER(SEARCH("[",D106)),LEFT(D106,FIND("[",D106)-1),D106)),"")</f>
        <v/>
      </c>
      <c r="P106" s="90" t="inlineStr">
        <is>
          <t>NA</t>
        </is>
      </c>
      <c r="Q106" s="83" t="n"/>
      <c r="R106" s="83" t="inlineStr">
        <is>
          <t>0x001F</t>
        </is>
      </c>
      <c r="S106" s="83" t="inlineStr">
        <is>
          <t>[3]</t>
        </is>
      </c>
      <c r="T106" s="83" t="n"/>
    </row>
    <row r="107" ht="94.5" customHeight="1" s="26">
      <c r="A107" s="72" t="inlineStr">
        <is>
          <t>pll_model.pll_inst</t>
        </is>
      </c>
      <c r="B107" s="133" t="n"/>
      <c r="C107" s="83" t="inlineStr">
        <is>
          <t>core_pd.core_pd_inst</t>
        </is>
      </c>
      <c r="D107" s="83" t="inlineStr">
        <is>
          <t>min[6:0]</t>
        </is>
      </c>
      <c r="E107" s="83">
        <f>IF(AND(ISNUMBER(FIND("[",D107)),ISNUMBER(FIND("]",D107)),ISNUMBER(FIND(":",D107))),MID(D107,FIND("[",D107)+1,FIND(":",D107)-FIND("[",D107)-1)+1-MID(D107,FIND(":",D107)+1,FIND("]",D107)-FIND(":",D107)-1),IF(OR(ISNUMBER(FIND("[",D107)),ISNUMBER(FIND("]",D107)),ISNUMBER(FIND(":",D107))),"ERROR",1))</f>
        <v/>
      </c>
      <c r="F107" s="98" t="inlineStr">
        <is>
          <t>I</t>
        </is>
      </c>
      <c r="G107" s="83" t="n"/>
      <c r="H107" s="83" t="inlineStr">
        <is>
          <t>b0000000</t>
        </is>
      </c>
      <c r="I107" s="83" t="inlineStr">
        <is>
          <t>YES</t>
        </is>
      </c>
      <c r="J107" s="88" t="n"/>
      <c r="K107" s="88" t="n"/>
      <c r="L107" s="88" t="n"/>
      <c r="M107" s="89">
        <f>H107</f>
        <v/>
      </c>
      <c r="N107" s="88" t="n"/>
      <c r="O107" s="88">
        <f>IF(AND(OR(EXACT(F107,"I"),EXACT(F107,"O")),NOT(EXACT(P107,"NA"))),CONCATENATE("c_reg_test_sel_",RIGHT(IF(B107=0,LOOKUP(2,1/($B$2:B107&lt;&gt;0),$B$2:B107),B107),LEN(IF(B107=0,LOOKUP(2,1/($B$2:B107&lt;&gt;0),$B$2:B107),B107))-FIND(".",IF(B107=0,LOOKUP(2,1/($B$2:B107&lt;&gt;0),$B$2:B107),B107))),IF(0,CONCATENATE("&amp; !c_test_reg_pin_disable_",RIGHT(IF(B107=0,LOOKUP(2,1/($B$2:B107&lt;&gt;0),$B$2:B107),B107),LEN(IF(B107=0,LOOKUP(2,1/($B$2:B107&lt;&gt;0),$B$2:B107),B107))-FIND(".",IF(B107=0,LOOKUP(2,1/($B$2:B107&lt;&gt;0),$B$2:B107),B107)))),""),IF(P107,CONCATENATE("_grp_",P107),""),"/","c_pad_",RIGHT(IF(B107=0,LOOKUP(2,1/($B$2:B107&lt;&gt;0),$B$2:B107),B107),LEN(IF(B107=0,LOOKUP(2,1/($B$2:B107&lt;&gt;0),$B$2:B107),B107))-FIND(".",IF(B107=0,LOOKUP(2,1/($B$2:B107&lt;&gt;0),$B$2:B107),B107))),"_",IF(ISNUMBER(SEARCH("[",D107)),LEFT(D107,FIND("[",D107)-1),D107)),"")</f>
        <v/>
      </c>
      <c r="P107" s="90" t="inlineStr">
        <is>
          <t>NA</t>
        </is>
      </c>
      <c r="Q107" s="83" t="inlineStr">
        <is>
          <t xml:space="preserve">min[6:0] 
The registers used to set the loop divider 
Divider rate: 1~127  
E.g. DIV_INT[6:0] = 7b’000_0000 The loop divider is 0.
DIV_INT[6:0] = 7b’010_0000 The loop divider is 32 
</t>
        </is>
      </c>
      <c r="R107" s="83" t="inlineStr">
        <is>
          <t>0x0023</t>
        </is>
      </c>
      <c r="S107" s="83" t="inlineStr">
        <is>
          <t>[6:0]</t>
        </is>
      </c>
      <c r="T107" s="83" t="n"/>
    </row>
    <row r="108" ht="173.25" customHeight="1" s="26">
      <c r="A108" s="72" t="inlineStr">
        <is>
          <t>pll_model.pll_inst</t>
        </is>
      </c>
      <c r="B108" s="133" t="n"/>
      <c r="C108" s="83" t="inlineStr">
        <is>
          <t>core_pd.core_pd_inst</t>
        </is>
      </c>
      <c r="D108" s="83" t="inlineStr">
        <is>
          <t>kin[20:0]</t>
        </is>
      </c>
      <c r="E108" s="83">
        <f>IF(AND(ISNUMBER(FIND("[",D108)),ISNUMBER(FIND("]",D108)),ISNUMBER(FIND(":",D108))),MID(D108,FIND("[",D108)+1,FIND(":",D108)-FIND("[",D108)-1)+1-MID(D108,FIND(":",D108)+1,FIND("]",D108)-FIND(":",D108)-1),IF(OR(ISNUMBER(FIND("[",D108)),ISNUMBER(FIND("]",D108)),ISNUMBER(FIND(":",D108))),"ERROR",1))</f>
        <v/>
      </c>
      <c r="F108" s="98" t="inlineStr">
        <is>
          <t>I</t>
        </is>
      </c>
      <c r="G108" s="83" t="n"/>
      <c r="H108" s="83" t="inlineStr">
        <is>
          <t>b000000000000000000000</t>
        </is>
      </c>
      <c r="I108" s="83" t="inlineStr">
        <is>
          <t>YES</t>
        </is>
      </c>
      <c r="J108" s="88" t="n"/>
      <c r="K108" s="88" t="n"/>
      <c r="L108" s="88" t="n"/>
      <c r="M108" s="89">
        <f>H108</f>
        <v/>
      </c>
      <c r="N108" s="88" t="n"/>
      <c r="O108" s="88">
        <f>IF(AND(OR(EXACT(F108,"I"),EXACT(F108,"O")),NOT(EXACT(P108,"NA"))),CONCATENATE("c_reg_test_sel_",RIGHT(IF(B108=0,LOOKUP(2,1/($B$2:B108&lt;&gt;0),$B$2:B108),B108),LEN(IF(B108=0,LOOKUP(2,1/($B$2:B108&lt;&gt;0),$B$2:B108),B108))-FIND(".",IF(B108=0,LOOKUP(2,1/($B$2:B108&lt;&gt;0),$B$2:B108),B108))),IF(0,CONCATENATE("&amp; !c_test_reg_pin_disable_",RIGHT(IF(B108=0,LOOKUP(2,1/($B$2:B108&lt;&gt;0),$B$2:B108),B108),LEN(IF(B108=0,LOOKUP(2,1/($B$2:B108&lt;&gt;0),$B$2:B108),B108))-FIND(".",IF(B108=0,LOOKUP(2,1/($B$2:B108&lt;&gt;0),$B$2:B108),B108)))),""),IF(P108,CONCATENATE("_grp_",P108),""),"/","c_pad_",RIGHT(IF(B108=0,LOOKUP(2,1/($B$2:B108&lt;&gt;0),$B$2:B108),B108),LEN(IF(B108=0,LOOKUP(2,1/($B$2:B108&lt;&gt;0),$B$2:B108),B108))-FIND(".",IF(B108=0,LOOKUP(2,1/($B$2:B108&lt;&gt;0),$B$2:B108),B108))),"_",IF(ISNUMBER(SEARCH("[",D108)),LEFT(D108,FIND("[",D108)-1),D108)),"")</f>
        <v/>
      </c>
      <c r="P108" s="90" t="inlineStr">
        <is>
          <t>NA</t>
        </is>
      </c>
      <c r="Q108" s="83" t="inlineStr">
        <is>
          <t xml:space="preserve">The fraction part of loop divider, the division rate is as follows: N=N_(KIN[20:0])/2^20 
  kin[20] is the sign bit. 
kin[20]= 1’b0  Plus fractional divider; kin[20]= 1’b1  Minus fractional divider; kin[20]=1’b0  Number{FRAC_LOOP}=kin[20:0] 
E.g.1 ss
kin[19:0]= 21’h80000   The fractional part of loop divider is 0.5 
kin[20]=1’b1 Number{FRAC_LOOP} = kin[20:0]-1 
 E.g.2 
kin[19:0]= 21’h40000   
The fractional part of loop divider is -0.75. 
</t>
        </is>
      </c>
      <c r="R108" s="83" t="inlineStr">
        <is>
          <t>0x0022;
0x0021;
0x0020;</t>
        </is>
      </c>
      <c r="S108" s="83" t="inlineStr">
        <is>
          <t>[7:0]；[7:0]；[4:0]</t>
        </is>
      </c>
      <c r="T108" s="83" t="n"/>
    </row>
    <row r="109" ht="141.75" customHeight="1" s="26">
      <c r="A109" s="72" t="inlineStr">
        <is>
          <t>pll_model.pll_inst</t>
        </is>
      </c>
      <c r="B109" s="133" t="n"/>
      <c r="C109" s="83" t="inlineStr">
        <is>
          <t>core_pd.core_pd_inst</t>
        </is>
      </c>
      <c r="D109" s="83" t="inlineStr">
        <is>
          <t>dkin[18:0]</t>
        </is>
      </c>
      <c r="E109" s="83">
        <f>IF(AND(ISNUMBER(FIND("[",D109)),ISNUMBER(FIND("]",D109)),ISNUMBER(FIND(":",D109))),MID(D109,FIND("[",D109)+1,FIND(":",D109)-FIND("[",D109)-1)+1-MID(D109,FIND(":",D109)+1,FIND("]",D109)-FIND(":",D109)-1),IF(OR(ISNUMBER(FIND("[",D109)),ISNUMBER(FIND("]",D109)),ISNUMBER(FIND(":",D109))),"ERROR",1))</f>
        <v/>
      </c>
      <c r="F109" s="98" t="inlineStr">
        <is>
          <t>I</t>
        </is>
      </c>
      <c r="G109" s="83" t="n"/>
      <c r="H109" s="83" t="inlineStr">
        <is>
          <t>b0000000000000000000</t>
        </is>
      </c>
      <c r="I109" s="83" t="inlineStr">
        <is>
          <t>YES</t>
        </is>
      </c>
      <c r="J109" s="88" t="n"/>
      <c r="K109" s="88" t="n"/>
      <c r="L109" s="88" t="n"/>
      <c r="M109" s="89">
        <f>H109</f>
        <v/>
      </c>
      <c r="N109" s="88" t="n"/>
      <c r="O109" s="88">
        <f>IF(AND(OR(EXACT(F109,"I"),EXACT(F109,"O")),NOT(EXACT(P109,"NA"))),CONCATENATE("c_reg_test_sel_",RIGHT(IF(B109=0,LOOKUP(2,1/($B$2:B109&lt;&gt;0),$B$2:B109),B109),LEN(IF(B109=0,LOOKUP(2,1/($B$2:B109&lt;&gt;0),$B$2:B109),B109))-FIND(".",IF(B109=0,LOOKUP(2,1/($B$2:B109&lt;&gt;0),$B$2:B109),B109))),IF(0,CONCATENATE("&amp; !c_test_reg_pin_disable_",RIGHT(IF(B109=0,LOOKUP(2,1/($B$2:B109&lt;&gt;0),$B$2:B109),B109),LEN(IF(B109=0,LOOKUP(2,1/($B$2:B109&lt;&gt;0),$B$2:B109),B109))-FIND(".",IF(B109=0,LOOKUP(2,1/($B$2:B109&lt;&gt;0),$B$2:B109),B109)))),""),IF(P109,CONCATENATE("_grp_",P109),""),"/","c_pad_",RIGHT(IF(B109=0,LOOKUP(2,1/($B$2:B109&lt;&gt;0),$B$2:B109),B109),LEN(IF(B109=0,LOOKUP(2,1/($B$2:B109&lt;&gt;0),$B$2:B109),B109))-FIND(".",IF(B109=0,LOOKUP(2,1/($B$2:B109&lt;&gt;0),$B$2:B109),B109))),"_",IF(ISNUMBER(SEARCH("[",D109)),LEFT(D109,FIND("[",D109)-1),D109)),"")</f>
        <v/>
      </c>
      <c r="P109" s="90" t="inlineStr">
        <is>
          <t>NA</t>
        </is>
      </c>
      <c r="Q109" s="83" t="inlineStr">
        <is>
          <t xml:space="preserve">SSC one step counter
dkin=(min+kin/2^20)*[SSC modulation]*2^20/upcntin;
example:
division number=22.68，fdiv=25MHz，SSC modulation frequency=30kHz。
MIN=23（四舍五入到整数）。
KIN计算为：KIN = (22.68 - 23) * 220 = -335544。UPCNTIN计算为：UPCNTIN = (1/4) * (1/30kHz) / (1/25MHz) = 208。
• DKIN计算为：DKIN = 22.68 * 0.2% * 2^20 / 208 = 229。
</t>
        </is>
      </c>
      <c r="R109" s="83" t="inlineStr">
        <is>
          <t xml:space="preserve">
0x0026;0x0025;
0x0024;</t>
        </is>
      </c>
      <c r="S109" s="83" t="inlineStr">
        <is>
          <t>[7:0]；[7:0]；[2:0]</t>
        </is>
      </c>
      <c r="T109" s="83" t="n"/>
    </row>
    <row r="110" ht="78.75" customHeight="1" s="26">
      <c r="A110" s="72" t="inlineStr">
        <is>
          <t>pll_model.pll_inst</t>
        </is>
      </c>
      <c r="B110" s="133" t="n"/>
      <c r="C110" s="83" t="inlineStr">
        <is>
          <t>core_pd.core_pd_inst</t>
        </is>
      </c>
      <c r="D110" s="83" t="inlineStr">
        <is>
          <t>upcntin[9:0]</t>
        </is>
      </c>
      <c r="E110" s="83">
        <f>IF(AND(ISNUMBER(FIND("[",D110)),ISNUMBER(FIND("]",D110)),ISNUMBER(FIND(":",D110))),MID(D110,FIND("[",D110)+1,FIND(":",D110)-FIND("[",D110)-1)+1-MID(D110,FIND(":",D110)+1,FIND("]",D110)-FIND(":",D110)-1),IF(OR(ISNUMBER(FIND("[",D110)),ISNUMBER(FIND("]",D110)),ISNUMBER(FIND(":",D110))),"ERROR",1))</f>
        <v/>
      </c>
      <c r="F110" s="98" t="inlineStr">
        <is>
          <t>I</t>
        </is>
      </c>
      <c r="G110" s="83" t="n"/>
      <c r="H110" s="83" t="inlineStr">
        <is>
          <t>b0000000000</t>
        </is>
      </c>
      <c r="I110" s="83" t="inlineStr">
        <is>
          <t>YES</t>
        </is>
      </c>
      <c r="J110" s="88" t="n"/>
      <c r="K110" s="88" t="n"/>
      <c r="L110" s="88" t="n"/>
      <c r="M110" s="89">
        <f>H110</f>
        <v/>
      </c>
      <c r="N110" s="88" t="n"/>
      <c r="O110" s="88">
        <f>IF(AND(OR(EXACT(F110,"I"),EXACT(F110,"O")),NOT(EXACT(P110,"NA"))),CONCATENATE("c_reg_test_sel_",RIGHT(IF(B110=0,LOOKUP(2,1/($B$2:B110&lt;&gt;0),$B$2:B110),B110),LEN(IF(B110=0,LOOKUP(2,1/($B$2:B110&lt;&gt;0),$B$2:B110),B110))-FIND(".",IF(B110=0,LOOKUP(2,1/($B$2:B110&lt;&gt;0),$B$2:B110),B110))),IF(0,CONCATENATE("&amp; !c_test_reg_pin_disable_",RIGHT(IF(B110=0,LOOKUP(2,1/($B$2:B110&lt;&gt;0),$B$2:B110),B110),LEN(IF(B110=0,LOOKUP(2,1/($B$2:B110&lt;&gt;0),$B$2:B110),B110))-FIND(".",IF(B110=0,LOOKUP(2,1/($B$2:B110&lt;&gt;0),$B$2:B110),B110)))),""),IF(P110,CONCATENATE("_grp_",P110),""),"/","c_pad_",RIGHT(IF(B110=0,LOOKUP(2,1/($B$2:B110&lt;&gt;0),$B$2:B110),B110),LEN(IF(B110=0,LOOKUP(2,1/($B$2:B110&lt;&gt;0),$B$2:B110),B110))-FIND(".",IF(B110=0,LOOKUP(2,1/($B$2:B110&lt;&gt;0),$B$2:B110),B110))),"_",IF(ISNUMBER(SEARCH("[",D110)),LEFT(D110,FIND("[",D110)-1),D110)),"")</f>
        <v/>
      </c>
      <c r="P110" s="90" t="inlineStr">
        <is>
          <t>NA</t>
        </is>
      </c>
      <c r="Q110" s="83" t="inlineStr">
        <is>
          <t xml:space="preserve">SSC period setting the counter number
Upcntin=(1/4)*[ssc period]/[ssc count 1 counter period]
Eg: ssc period=30kHz, freq_fb=4MHz
Upcntin=1/4*(30KHz)/(4MHz)
</t>
        </is>
      </c>
      <c r="R110" s="83" t="inlineStr">
        <is>
          <t>0x0027;0x0028;</t>
        </is>
      </c>
      <c r="S110" s="83" t="inlineStr">
        <is>
          <t>[7:0]；[1:0]</t>
        </is>
      </c>
      <c r="T110" s="83" t="n"/>
    </row>
    <row r="111" ht="78.75" customHeight="1" s="26">
      <c r="A111" s="72" t="inlineStr">
        <is>
          <t>pll_model.pll_inst</t>
        </is>
      </c>
      <c r="B111" s="133" t="n"/>
      <c r="C111" s="83" t="inlineStr">
        <is>
          <t>core_pd.core_pd_inst</t>
        </is>
      </c>
      <c r="D111" s="83" t="inlineStr">
        <is>
          <t>ssc_en</t>
        </is>
      </c>
      <c r="E111" s="83">
        <f>IF(AND(ISNUMBER(FIND("[",D111)),ISNUMBER(FIND("]",D111)),ISNUMBER(FIND(":",D111))),MID(D111,FIND("[",D111)+1,FIND(":",D111)-FIND("[",D111)-1)+1-MID(D111,FIND(":",D111)+1,FIND("]",D111)-FIND(":",D111)-1),IF(OR(ISNUMBER(FIND("[",D111)),ISNUMBER(FIND("]",D111)),ISNUMBER(FIND(":",D111))),"ERROR",1))</f>
        <v/>
      </c>
      <c r="F111" s="98" t="inlineStr">
        <is>
          <t>I</t>
        </is>
      </c>
      <c r="G111" s="83" t="n"/>
      <c r="H111" s="83" t="inlineStr">
        <is>
          <t>b0</t>
        </is>
      </c>
      <c r="I111" s="83" t="inlineStr">
        <is>
          <t>YES</t>
        </is>
      </c>
      <c r="J111" s="88" t="n"/>
      <c r="K111" s="88" t="n"/>
      <c r="L111" s="88" t="n"/>
      <c r="M111" s="89">
        <f>H111</f>
        <v/>
      </c>
      <c r="N111" s="88" t="n"/>
      <c r="O111" s="88">
        <f>IF(AND(OR(EXACT(F111,"I"),EXACT(F111,"O")),NOT(EXACT(P111,"NA"))),CONCATENATE("c_reg_test_sel_",RIGHT(IF(B111=0,LOOKUP(2,1/($B$2:B111&lt;&gt;0),$B$2:B111),B111),LEN(IF(B111=0,LOOKUP(2,1/($B$2:B111&lt;&gt;0),$B$2:B111),B111))-FIND(".",IF(B111=0,LOOKUP(2,1/($B$2:B111&lt;&gt;0),$B$2:B111),B111))),IF(0,CONCATENATE("&amp; !c_test_reg_pin_disable_",RIGHT(IF(B111=0,LOOKUP(2,1/($B$2:B111&lt;&gt;0),$B$2:B111),B111),LEN(IF(B111=0,LOOKUP(2,1/($B$2:B111&lt;&gt;0),$B$2:B111),B111))-FIND(".",IF(B111=0,LOOKUP(2,1/($B$2:B111&lt;&gt;0),$B$2:B111),B111)))),""),IF(P111,CONCATENATE("_grp_",P111),""),"/","c_pad_",RIGHT(IF(B111=0,LOOKUP(2,1/($B$2:B111&lt;&gt;0),$B$2:B111),B111),LEN(IF(B111=0,LOOKUP(2,1/($B$2:B111&lt;&gt;0),$B$2:B111),B111))-FIND(".",IF(B111=0,LOOKUP(2,1/($B$2:B111&lt;&gt;0),$B$2:B111),B111))),"_",IF(ISNUMBER(SEARCH("[",D111)),LEFT(D111,FIND("[",D111)-1),D111)),"")</f>
        <v/>
      </c>
      <c r="P111" s="90" t="inlineStr">
        <is>
          <t>NA</t>
        </is>
      </c>
      <c r="Q111" s="83" t="inlineStr">
        <is>
          <t xml:space="preserve">The enable signal for SDM mode, high active. 
The default value is 1’b0 
ssc_en = “1”  Enables SSC. 
ssc_en = “0”  No SDM mode, PLL works as an integer divider PLL. 
</t>
        </is>
      </c>
      <c r="R111" s="83" t="inlineStr">
        <is>
          <t>0x0029</t>
        </is>
      </c>
      <c r="S111" s="83" t="inlineStr">
        <is>
          <t>[0]</t>
        </is>
      </c>
      <c r="T111" s="83" t="n"/>
    </row>
    <row r="112" ht="78.75" customHeight="1" s="26">
      <c r="A112" s="72" t="inlineStr">
        <is>
          <t>pll_model.pll_inst</t>
        </is>
      </c>
      <c r="B112" s="133" t="n"/>
      <c r="C112" s="83" t="inlineStr">
        <is>
          <t>core_pd.core_pd_inst</t>
        </is>
      </c>
      <c r="D112" s="83" t="inlineStr">
        <is>
          <t>ssc_nrst</t>
        </is>
      </c>
      <c r="E112" s="83">
        <f>IF(AND(ISNUMBER(FIND("[",D112)),ISNUMBER(FIND("]",D112)),ISNUMBER(FIND(":",D112))),MID(D112,FIND("[",D112)+1,FIND(":",D112)-FIND("[",D112)-1)+1-MID(D112,FIND(":",D112)+1,FIND("]",D112)-FIND(":",D112)-1),IF(OR(ISNUMBER(FIND("[",D112)),ISNUMBER(FIND("]",D112)),ISNUMBER(FIND(":",D112))),"ERROR",1))</f>
        <v/>
      </c>
      <c r="F112" s="98" t="inlineStr">
        <is>
          <t>I</t>
        </is>
      </c>
      <c r="G112" s="83" t="n"/>
      <c r="H112" s="83" t="inlineStr">
        <is>
          <t>b0</t>
        </is>
      </c>
      <c r="I112" s="83" t="inlineStr">
        <is>
          <t>YES</t>
        </is>
      </c>
      <c r="J112" s="88" t="n"/>
      <c r="K112" s="88" t="n"/>
      <c r="L112" s="88" t="n"/>
      <c r="M112" s="89">
        <f>H112</f>
        <v/>
      </c>
      <c r="N112" s="88" t="n"/>
      <c r="O112" s="88">
        <f>IF(AND(OR(EXACT(F112,"I"),EXACT(F112,"O")),NOT(EXACT(P112,"NA"))),CONCATENATE("c_reg_test_sel_",RIGHT(IF(B112=0,LOOKUP(2,1/($B$2:B112&lt;&gt;0),$B$2:B112),B112),LEN(IF(B112=0,LOOKUP(2,1/($B$2:B112&lt;&gt;0),$B$2:B112),B112))-FIND(".",IF(B112=0,LOOKUP(2,1/($B$2:B112&lt;&gt;0),$B$2:B112),B112))),IF(0,CONCATENATE("&amp; !c_test_reg_pin_disable_",RIGHT(IF(B112=0,LOOKUP(2,1/($B$2:B112&lt;&gt;0),$B$2:B112),B112),LEN(IF(B112=0,LOOKUP(2,1/($B$2:B112&lt;&gt;0),$B$2:B112),B112))-FIND(".",IF(B112=0,LOOKUP(2,1/($B$2:B112&lt;&gt;0),$B$2:B112),B112)))),""),IF(P112,CONCATENATE("_grp_",P112),""),"/","c_pad_",RIGHT(IF(B112=0,LOOKUP(2,1/($B$2:B112&lt;&gt;0),$B$2:B112),B112),LEN(IF(B112=0,LOOKUP(2,1/($B$2:B112&lt;&gt;0),$B$2:B112),B112))-FIND(".",IF(B112=0,LOOKUP(2,1/($B$2:B112&lt;&gt;0),$B$2:B112),B112))),"_",IF(ISNUMBER(SEARCH("[",D112)),LEFT(D112,FIND("[",D112)-1),D112)),"")</f>
        <v/>
      </c>
      <c r="P112" s="90" t="inlineStr">
        <is>
          <t>NA</t>
        </is>
      </c>
      <c r="Q112" s="83" t="inlineStr">
        <is>
          <t xml:space="preserve">The enable signal for SDM mode, high active. 
The default value is 1’b0 
ssc_nrst= “1”  reset release. 
ssc_en = “0”  reset ssc
</t>
        </is>
      </c>
      <c r="R112" s="83" t="inlineStr">
        <is>
          <t>0x0029</t>
        </is>
      </c>
      <c r="S112" s="83" t="inlineStr">
        <is>
          <t>[1]</t>
        </is>
      </c>
      <c r="T112" s="83" t="n"/>
    </row>
    <row r="113" ht="78.75" customHeight="1" s="26">
      <c r="A113" s="72" t="inlineStr">
        <is>
          <t>pll_model.pll_inst</t>
        </is>
      </c>
      <c r="B113" s="133" t="n"/>
      <c r="C113" s="83" t="inlineStr">
        <is>
          <t>core_pd.core_pd_inst</t>
        </is>
      </c>
      <c r="D113" s="83" t="inlineStr">
        <is>
          <t>ssc_byp</t>
        </is>
      </c>
      <c r="E113" s="83">
        <f>IF(AND(ISNUMBER(FIND("[",D113)),ISNUMBER(FIND("]",D113)),ISNUMBER(FIND(":",D113))),MID(D113,FIND("[",D113)+1,FIND(":",D113)-FIND("[",D113)-1)+1-MID(D113,FIND(":",D113)+1,FIND("]",D113)-FIND(":",D113)-1),IF(OR(ISNUMBER(FIND("[",D113)),ISNUMBER(FIND("]",D113)),ISNUMBER(FIND(":",D113))),"ERROR",1))</f>
        <v/>
      </c>
      <c r="F113" s="98" t="inlineStr">
        <is>
          <t>I</t>
        </is>
      </c>
      <c r="G113" s="83" t="n"/>
      <c r="H113" s="83" t="inlineStr">
        <is>
          <t>b1</t>
        </is>
      </c>
      <c r="I113" s="83" t="inlineStr">
        <is>
          <t>YES</t>
        </is>
      </c>
      <c r="J113" s="88" t="n"/>
      <c r="K113" s="88" t="n"/>
      <c r="L113" s="88" t="n"/>
      <c r="M113" s="89">
        <f>H113</f>
        <v/>
      </c>
      <c r="N113" s="88" t="n"/>
      <c r="O113" s="88">
        <f>IF(AND(OR(EXACT(F113,"I"),EXACT(F113,"O")),NOT(EXACT(P113,"NA"))),CONCATENATE("c_reg_test_sel_",RIGHT(IF(B113=0,LOOKUP(2,1/($B$2:B113&lt;&gt;0),$B$2:B113),B113),LEN(IF(B113=0,LOOKUP(2,1/($B$2:B113&lt;&gt;0),$B$2:B113),B113))-FIND(".",IF(B113=0,LOOKUP(2,1/($B$2:B113&lt;&gt;0),$B$2:B113),B113))),IF(0,CONCATENATE("&amp; !c_test_reg_pin_disable_",RIGHT(IF(B113=0,LOOKUP(2,1/($B$2:B113&lt;&gt;0),$B$2:B113),B113),LEN(IF(B113=0,LOOKUP(2,1/($B$2:B113&lt;&gt;0),$B$2:B113),B113))-FIND(".",IF(B113=0,LOOKUP(2,1/($B$2:B113&lt;&gt;0),$B$2:B113),B113)))),""),IF(P113,CONCATENATE("_grp_",P113),""),"/","c_pad_",RIGHT(IF(B113=0,LOOKUP(2,1/($B$2:B113&lt;&gt;0),$B$2:B113),B113),LEN(IF(B113=0,LOOKUP(2,1/($B$2:B113&lt;&gt;0),$B$2:B113),B113))-FIND(".",IF(B113=0,LOOKUP(2,1/($B$2:B113&lt;&gt;0),$B$2:B113),B113))),"_",IF(ISNUMBER(SEARCH("[",D113)),LEFT(D113,FIND("[",D113)-1),D113)),"")</f>
        <v/>
      </c>
      <c r="P113" s="90" t="inlineStr">
        <is>
          <t>NA</t>
        </is>
      </c>
      <c r="Q113" s="83" t="inlineStr">
        <is>
          <t xml:space="preserve">The enable signal for SDM mode, high active. 
The default value is 1’b0 
ssc_byp = “1” bypass the SSC. 
ssc_byp = “0”  SSC work normal
</t>
        </is>
      </c>
      <c r="R113" s="83" t="inlineStr">
        <is>
          <t>0x0029</t>
        </is>
      </c>
      <c r="S113" s="83" t="inlineStr">
        <is>
          <t>[2]</t>
        </is>
      </c>
      <c r="T113" s="83" t="n"/>
    </row>
    <row r="114" ht="63" customHeight="1" s="26">
      <c r="A114" s="72" t="inlineStr">
        <is>
          <t>pll_model.pll_inst</t>
        </is>
      </c>
      <c r="B114" s="133" t="n"/>
      <c r="C114" s="83" t="inlineStr">
        <is>
          <t>core_pd.core_pd_inst</t>
        </is>
      </c>
      <c r="D114" s="83" t="inlineStr">
        <is>
          <t>nrstds</t>
        </is>
      </c>
      <c r="E114" s="83">
        <f>IF(AND(ISNUMBER(FIND("[",D114)),ISNUMBER(FIND("]",D114)),ISNUMBER(FIND(":",D114))),MID(D114,FIND("[",D114)+1,FIND(":",D114)-FIND("[",D114)-1)+1-MID(D114,FIND(":",D114)+1,FIND("]",D114)-FIND(":",D114)-1),IF(OR(ISNUMBER(FIND("[",D114)),ISNUMBER(FIND("]",D114)),ISNUMBER(FIND(":",D114))),"ERROR",1))</f>
        <v/>
      </c>
      <c r="F114" s="98" t="inlineStr">
        <is>
          <t>I</t>
        </is>
      </c>
      <c r="G114" s="83" t="n"/>
      <c r="H114" s="83" t="inlineStr">
        <is>
          <t>b0</t>
        </is>
      </c>
      <c r="I114" s="83" t="inlineStr">
        <is>
          <t>YES</t>
        </is>
      </c>
      <c r="J114" s="88" t="n"/>
      <c r="K114" s="88" t="n"/>
      <c r="L114" s="88" t="n"/>
      <c r="M114" s="89">
        <f>H114</f>
        <v/>
      </c>
      <c r="N114" s="88" t="n"/>
      <c r="O114" s="88">
        <f>IF(AND(OR(EXACT(F114,"I"),EXACT(F114,"O")),NOT(EXACT(P114,"NA"))),CONCATENATE("c_reg_test_sel_",RIGHT(IF(B114=0,LOOKUP(2,1/($B$2:B114&lt;&gt;0),$B$2:B114),B114),LEN(IF(B114=0,LOOKUP(2,1/($B$2:B114&lt;&gt;0),$B$2:B114),B114))-FIND(".",IF(B114=0,LOOKUP(2,1/($B$2:B114&lt;&gt;0),$B$2:B114),B114))),IF(0,CONCATENATE("&amp; !c_test_reg_pin_disable_",RIGHT(IF(B114=0,LOOKUP(2,1/($B$2:B114&lt;&gt;0),$B$2:B114),B114),LEN(IF(B114=0,LOOKUP(2,1/($B$2:B114&lt;&gt;0),$B$2:B114),B114))-FIND(".",IF(B114=0,LOOKUP(2,1/($B$2:B114&lt;&gt;0),$B$2:B114),B114)))),""),IF(P114,CONCATENATE("_grp_",P114),""),"/","c_pad_",RIGHT(IF(B114=0,LOOKUP(2,1/($B$2:B114&lt;&gt;0),$B$2:B114),B114),LEN(IF(B114=0,LOOKUP(2,1/($B$2:B114&lt;&gt;0),$B$2:B114),B114))-FIND(".",IF(B114=0,LOOKUP(2,1/($B$2:B114&lt;&gt;0),$B$2:B114),B114))),"_",IF(ISNUMBER(SEARCH("[",D114)),LEFT(D114,FIND("[",D114)-1),D114)),"")</f>
        <v/>
      </c>
      <c r="P114" s="90" t="inlineStr">
        <is>
          <t>NA</t>
        </is>
      </c>
      <c r="Q114" s="83" t="inlineStr">
        <is>
          <t xml:space="preserve">The enable signal for fraction divider, high active. 
nrstds = “1”  fraction divider on. 
nrstds = “0”  fraction divider off. 
</t>
        </is>
      </c>
      <c r="R114" s="83" t="inlineStr">
        <is>
          <t>0x0029</t>
        </is>
      </c>
      <c r="S114" s="83" t="inlineStr">
        <is>
          <t>[3]</t>
        </is>
      </c>
      <c r="T114" s="83" t="n"/>
    </row>
    <row r="115" ht="94.5" customHeight="1" s="26">
      <c r="A115" s="72" t="inlineStr">
        <is>
          <t>pll_model.pll_inst</t>
        </is>
      </c>
      <c r="B115" s="134" t="n"/>
      <c r="C115" s="83" t="inlineStr">
        <is>
          <t>core_pd.core_pd_inst</t>
        </is>
      </c>
      <c r="D115" s="83" t="inlineStr">
        <is>
          <t>divn[6:0]</t>
        </is>
      </c>
      <c r="E115" s="83">
        <f>IF(AND(ISNUMBER(FIND("[",D115)),ISNUMBER(FIND("]",D115)),ISNUMBER(FIND(":",D115))),MID(D115,FIND("[",D115)+1,FIND(":",D115)-FIND("[",D115)-1)+1-MID(D115,FIND(":",D115)+1,FIND("]",D115)-FIND(":",D115)-1),IF(OR(ISNUMBER(FIND("[",D115)),ISNUMBER(FIND("]",D115)),ISNUMBER(FIND(":",D115))),"ERROR",1))</f>
        <v/>
      </c>
      <c r="F115" s="98" t="inlineStr">
        <is>
          <t>I</t>
        </is>
      </c>
      <c r="G115" s="83" t="n"/>
      <c r="H115" s="83" t="inlineStr">
        <is>
          <t>b0000000</t>
        </is>
      </c>
      <c r="I115" s="83" t="inlineStr">
        <is>
          <t>YES</t>
        </is>
      </c>
      <c r="J115" s="88" t="n"/>
      <c r="K115" s="88" t="n"/>
      <c r="L115" s="88" t="n"/>
      <c r="M115" s="89">
        <f>H115</f>
        <v/>
      </c>
      <c r="N115" s="88" t="n"/>
      <c r="O115" s="88">
        <f>IF(AND(OR(EXACT(F115,"I"),EXACT(F115,"O")),NOT(EXACT(P115,"NA"))),CONCATENATE("c_reg_test_sel_",RIGHT(IF(B115=0,LOOKUP(2,1/($B$2:B115&lt;&gt;0),$B$2:B115),B115),LEN(IF(B115=0,LOOKUP(2,1/($B$2:B115&lt;&gt;0),$B$2:B115),B115))-FIND(".",IF(B115=0,LOOKUP(2,1/($B$2:B115&lt;&gt;0),$B$2:B115),B115))),IF(0,CONCATENATE("&amp; !c_test_reg_pin_disable_",RIGHT(IF(B115=0,LOOKUP(2,1/($B$2:B115&lt;&gt;0),$B$2:B115),B115),LEN(IF(B115=0,LOOKUP(2,1/($B$2:B115&lt;&gt;0),$B$2:B115),B115))-FIND(".",IF(B115=0,LOOKUP(2,1/($B$2:B115&lt;&gt;0),$B$2:B115),B115)))),""),IF(P115,CONCATENATE("_grp_",P115),""),"/","c_pad_",RIGHT(IF(B115=0,LOOKUP(2,1/($B$2:B115&lt;&gt;0),$B$2:B115),B115),LEN(IF(B115=0,LOOKUP(2,1/($B$2:B115&lt;&gt;0),$B$2:B115),B115))-FIND(".",IF(B115=0,LOOKUP(2,1/($B$2:B115&lt;&gt;0),$B$2:B115),B115))),"_",IF(ISNUMBER(SEARCH("[",D115)),LEFT(D115,FIND("[",D115)-1),D115)),"")</f>
        <v/>
      </c>
      <c r="P115" s="90" t="inlineStr">
        <is>
          <t>NA</t>
        </is>
      </c>
      <c r="Q115" s="83" t="inlineStr">
        <is>
          <t xml:space="preserve">divn[6:0] 
The registers used to set the loop divider 
Divider rate: 1~128  
E.g. DIV_INT[6:0] = 7b’000_0000 The loop divider is 1.
DIV_INT[6:0] = 7b’010_0000 The loop divider is 33 
</t>
        </is>
      </c>
      <c r="R115" s="83" t="inlineStr">
        <is>
          <t>0x002A</t>
        </is>
      </c>
      <c r="S115" s="83" t="inlineStr">
        <is>
          <t>[6:0]</t>
        </is>
      </c>
      <c r="T115" s="83" t="n"/>
    </row>
    <row r="116" hidden="1" s="26">
      <c r="A116" s="72" t="inlineStr">
        <is>
          <t>pmu_model.pmu_inst</t>
        </is>
      </c>
      <c r="B116" s="83" t="inlineStr">
        <is>
          <t>pmu_model.pmu_inst</t>
        </is>
      </c>
      <c r="C116" s="83" t="inlineStr">
        <is>
          <t>TOP:VCC5V</t>
        </is>
      </c>
      <c r="D116" s="77" t="inlineStr">
        <is>
          <t>VCC_PMU</t>
        </is>
      </c>
      <c r="E116" s="83">
        <f>IF(AND(ISNUMBER(FIND("[",D116)),ISNUMBER(FIND("]",D116)),ISNUMBER(FIND(":",D116))),MID(D116,FIND("[",D116)+1,FIND(":",D116)-FIND("[",D116)-1)+1-MID(D116,FIND(":",D116)+1,FIND("]",D116)-FIND(":",D116)-1),IF(OR(ISNUMBER(FIND("[",D116)),ISNUMBER(FIND("]",D116)),ISNUMBER(FIND(":",D116))),"ERROR",1))</f>
        <v/>
      </c>
      <c r="F116" s="98" t="inlineStr">
        <is>
          <t>P</t>
        </is>
      </c>
      <c r="G116" s="93" t="inlineStr">
        <is>
          <t>5V</t>
        </is>
      </c>
      <c r="H116" s="93" t="n"/>
      <c r="I116" s="99" t="n"/>
      <c r="M116" s="72" t="n"/>
      <c r="P116" s="72" t="n"/>
      <c r="Q116" s="102" t="inlineStr">
        <is>
          <t>Input power supply</t>
        </is>
      </c>
      <c r="R116" s="83" t="n"/>
      <c r="S116" s="83" t="n"/>
      <c r="T116" s="93" t="n"/>
    </row>
    <row r="117" hidden="1" s="26">
      <c r="A117" s="72" t="inlineStr">
        <is>
          <t>pmu_model.pmu_inst</t>
        </is>
      </c>
      <c r="B117" s="133" t="n"/>
      <c r="C117" s="83" t="inlineStr">
        <is>
          <t>TOP:VSSA</t>
        </is>
      </c>
      <c r="D117" s="77" t="inlineStr">
        <is>
          <t>VSS_PMU</t>
        </is>
      </c>
      <c r="E117" s="83">
        <f>IF(AND(ISNUMBER(FIND("[",D117)),ISNUMBER(FIND("]",D117)),ISNUMBER(FIND(":",D117))),MID(D117,FIND("[",D117)+1,FIND(":",D117)-FIND("[",D117)-1)+1-MID(D117,FIND(":",D117)+1,FIND("]",D117)-FIND(":",D117)-1),IF(OR(ISNUMBER(FIND("[",D117)),ISNUMBER(FIND("]",D117)),ISNUMBER(FIND(":",D117))),"ERROR",1))</f>
        <v/>
      </c>
      <c r="F117" s="98" t="inlineStr">
        <is>
          <t>G</t>
        </is>
      </c>
      <c r="G117" s="93" t="inlineStr">
        <is>
          <t>5V</t>
        </is>
      </c>
      <c r="H117" s="93" t="n"/>
      <c r="I117" s="93" t="n"/>
      <c r="M117" s="72" t="n"/>
      <c r="P117" s="72" t="n"/>
      <c r="Q117" s="83" t="inlineStr">
        <is>
          <t>Analog ground (Clean ground!)</t>
        </is>
      </c>
      <c r="R117" s="83" t="n"/>
      <c r="S117" s="83" t="n"/>
      <c r="T117" s="93" t="n"/>
    </row>
    <row r="118" hidden="1" s="26">
      <c r="A118" s="72" t="inlineStr">
        <is>
          <t>pmu_model.pmu_inst</t>
        </is>
      </c>
      <c r="B118" s="133" t="n"/>
      <c r="C118" s="83" t="inlineStr">
        <is>
          <t>TOP:VSSD</t>
        </is>
      </c>
      <c r="D118" s="77" t="inlineStr">
        <is>
          <t>VSSD_PMU</t>
        </is>
      </c>
      <c r="E118" s="83">
        <f>IF(AND(ISNUMBER(FIND("[",D118)),ISNUMBER(FIND("]",D118)),ISNUMBER(FIND(":",D118))),MID(D118,FIND("[",D118)+1,FIND(":",D118)-FIND("[",D118)-1)+1-MID(D118,FIND(":",D118)+1,FIND("]",D118)-FIND(":",D118)-1),IF(OR(ISNUMBER(FIND("[",D118)),ISNUMBER(FIND("]",D118)),ISNUMBER(FIND(":",D118))),"ERROR",1))</f>
        <v/>
      </c>
      <c r="F118" s="98" t="inlineStr">
        <is>
          <t>G</t>
        </is>
      </c>
      <c r="G118" s="93" t="inlineStr">
        <is>
          <t>1.5V</t>
        </is>
      </c>
      <c r="H118" s="93" t="n"/>
      <c r="I118" s="93" t="n"/>
      <c r="M118" s="72" t="n"/>
      <c r="P118" s="72" t="n"/>
      <c r="Q118" s="83" t="inlineStr">
        <is>
          <t>digital ground</t>
        </is>
      </c>
      <c r="R118" s="83" t="n"/>
      <c r="S118" s="83" t="n"/>
      <c r="T118" s="93" t="n"/>
    </row>
    <row r="119" hidden="1" ht="14.25" customHeight="1" s="26">
      <c r="A119" s="72" t="inlineStr">
        <is>
          <t>pmu_model.pmu_inst</t>
        </is>
      </c>
      <c r="B119" s="133" t="n"/>
      <c r="C119" s="83" t="inlineStr">
        <is>
          <t>TOP:VCC5V</t>
        </is>
      </c>
      <c r="D119" s="77" t="inlineStr">
        <is>
          <t>VCC_LDO</t>
        </is>
      </c>
      <c r="E119" s="83">
        <f>IF(AND(ISNUMBER(FIND("[",D119)),ISNUMBER(FIND("]",D119)),ISNUMBER(FIND(":",D119))),MID(D119,FIND("[",D119)+1,FIND(":",D119)-FIND("[",D119)-1)+1-MID(D119,FIND(":",D119)+1,FIND("]",D119)-FIND(":",D119)-1),IF(OR(ISNUMBER(FIND("[",D119)),ISNUMBER(FIND("]",D119)),ISNUMBER(FIND(":",D119))),"ERROR",1))</f>
        <v/>
      </c>
      <c r="F119" s="98" t="inlineStr">
        <is>
          <t>P</t>
        </is>
      </c>
      <c r="G119" s="93" t="inlineStr">
        <is>
          <t>5V</t>
        </is>
      </c>
      <c r="H119" s="93" t="n"/>
      <c r="I119" s="93" t="n"/>
      <c r="M119" s="72" t="n"/>
      <c r="P119" s="72" t="n"/>
      <c r="Q119" s="83" t="inlineStr">
        <is>
          <t>input supply for power PMOS of MLDO;
its voltage range is from 2.6V to 5.5V</t>
        </is>
      </c>
      <c r="R119" s="83" t="n"/>
      <c r="S119" s="83" t="n"/>
      <c r="T119" s="93" t="n"/>
    </row>
    <row r="120" hidden="1" s="26">
      <c r="A120" s="72" t="inlineStr">
        <is>
          <t>pmu_model.pmu_inst</t>
        </is>
      </c>
      <c r="B120" s="133" t="n"/>
      <c r="C120" s="83" t="inlineStr">
        <is>
          <t>TOP:VCC5V</t>
        </is>
      </c>
      <c r="D120" s="77" t="inlineStr">
        <is>
          <t>BAT</t>
        </is>
      </c>
      <c r="E120" s="83">
        <f>IF(AND(ISNUMBER(FIND("[",D120)),ISNUMBER(FIND("]",D120)),ISNUMBER(FIND(":",D120))),MID(D120,FIND("[",D120)+1,FIND(":",D120)-FIND("[",D120)-1)+1-MID(D120,FIND(":",D120)+1,FIND("]",D120)-FIND(":",D120)-1),IF(OR(ISNUMBER(FIND("[",D120)),ISNUMBER(FIND("]",D120)),ISNUMBER(FIND(":",D120))),"ERROR",1))</f>
        <v/>
      </c>
      <c r="F120" s="98" t="inlineStr">
        <is>
          <t>P</t>
        </is>
      </c>
      <c r="G120" s="93" t="n"/>
      <c r="H120" s="93" t="n"/>
      <c r="I120" s="93" t="n"/>
      <c r="M120" s="72" t="n"/>
      <c r="P120" s="72" t="n"/>
      <c r="Q120" s="83" t="inlineStr">
        <is>
          <t>POR detect</t>
        </is>
      </c>
      <c r="R120" s="83" t="n"/>
      <c r="S120" s="83" t="n"/>
      <c r="T120" s="93" t="n"/>
    </row>
    <row r="121" hidden="1" s="26">
      <c r="A121" s="72" t="inlineStr">
        <is>
          <t>pmu_model.pmu_inst</t>
        </is>
      </c>
      <c r="B121" s="133" t="n"/>
      <c r="C121" s="83" t="inlineStr">
        <is>
          <t>TOP:EXT_LDO</t>
        </is>
      </c>
      <c r="D121" s="77" t="inlineStr">
        <is>
          <t>EXT_LDO</t>
        </is>
      </c>
      <c r="E121" s="83">
        <f>IF(AND(ISNUMBER(FIND("[",D121)),ISNUMBER(FIND("]",D121)),ISNUMBER(FIND(":",D121))),MID(D121,FIND("[",D121)+1,FIND(":",D121)-FIND("[",D121)-1)+1-MID(D121,FIND(":",D121)+1,FIND("]",D121)-FIND(":",D121)-1),IF(OR(ISNUMBER(FIND("[",D121)),ISNUMBER(FIND("]",D121)),ISNUMBER(FIND(":",D121))),"ERROR",1))</f>
        <v/>
      </c>
      <c r="F121" s="98" t="inlineStr">
        <is>
          <t>P</t>
        </is>
      </c>
      <c r="G121" s="93" t="inlineStr">
        <is>
          <t>1.5V</t>
        </is>
      </c>
      <c r="H121" s="93" t="n"/>
      <c r="I121" s="93" t="n"/>
      <c r="M121" s="72" t="n"/>
      <c r="P121" s="72" t="n"/>
      <c r="Q121" s="83" t="inlineStr">
        <is>
          <t>reserved</t>
        </is>
      </c>
      <c r="R121" s="83" t="n"/>
      <c r="S121" s="83" t="n"/>
      <c r="T121" s="93" t="n"/>
    </row>
    <row r="122" hidden="1" s="26">
      <c r="B122" s="133" t="n"/>
      <c r="C122" s="91" t="inlineStr">
        <is>
          <t>TOP:VCC5V</t>
        </is>
      </c>
      <c r="D122" s="91" t="inlineStr">
        <is>
          <t>VCC_DT</t>
        </is>
      </c>
      <c r="E122" s="83">
        <f>IF(AND(ISNUMBER(FIND("[",D122)),ISNUMBER(FIND("]",D122)),ISNUMBER(FIND(":",D122))),MID(D122,FIND("[",D122)+1,FIND(":",D122)-FIND("[",D122)-1)+1-MID(D122,FIND(":",D122)+1,FIND("]",D122)-FIND(":",D122)-1),IF(OR(ISNUMBER(FIND("[",D122)),ISNUMBER(FIND("]",D122)),ISNUMBER(FIND(":",D122))),"ERROR",1))</f>
        <v/>
      </c>
      <c r="F122" s="98" t="inlineStr">
        <is>
          <t>P</t>
        </is>
      </c>
      <c r="G122" s="93" t="n"/>
      <c r="H122" s="93" t="n"/>
      <c r="I122" s="93" t="n"/>
      <c r="M122" s="72" t="n"/>
      <c r="P122" s="72" t="n"/>
      <c r="Q122" s="83" t="inlineStr">
        <is>
          <t>The power supply monitored by POR</t>
        </is>
      </c>
      <c r="R122" s="83" t="n"/>
      <c r="S122" s="83" t="n"/>
      <c r="T122" s="93" t="n"/>
    </row>
    <row r="123" hidden="1" s="26">
      <c r="A123" s="72" t="inlineStr">
        <is>
          <t>pmu_model.pmu_inst</t>
        </is>
      </c>
      <c r="B123" s="133" t="n"/>
      <c r="C123" s="109" t="inlineStr">
        <is>
          <t>TOP:pmu_inst_IBP_pwr2</t>
        </is>
      </c>
      <c r="D123" s="109" t="inlineStr">
        <is>
          <t>IPB_pwr2[1:0]</t>
        </is>
      </c>
      <c r="E123" s="109">
        <f>IF(AND(ISNUMBER(FIND("[",D123)),ISNUMBER(FIND("]",D123)),ISNUMBER(FIND(":",D123))),MID(D123,FIND("[",D123)+1,FIND(":",D123)-FIND("[",D123)-1)+1-MID(D123,FIND(":",D123)+1,FIND("]",D123)-FIND(":",D123)-1),IF(OR(ISNUMBER(FIND("[",D123)),ISNUMBER(FIND("]",D123)),ISNUMBER(FIND(":",D123))),"ERROR",1))</f>
        <v/>
      </c>
      <c r="F123" s="110" t="inlineStr">
        <is>
          <t>A</t>
        </is>
      </c>
      <c r="G123" s="93" t="n"/>
      <c r="H123" s="93" t="n"/>
      <c r="I123" s="93" t="n"/>
      <c r="M123" s="72" t="n"/>
      <c r="P123" s="72" t="n"/>
      <c r="Q123" s="83" t="inlineStr">
        <is>
          <t>1.5V external power supply</t>
        </is>
      </c>
      <c r="R123" s="83" t="n"/>
      <c r="S123" s="83" t="n"/>
      <c r="T123" s="93" t="n"/>
    </row>
    <row r="124" hidden="1" ht="17.25" customHeight="1" s="26">
      <c r="A124" s="72" t="inlineStr">
        <is>
          <t>pmu_model.pmu_inst</t>
        </is>
      </c>
      <c r="B124" s="133" t="n"/>
      <c r="C124" s="83" t="inlineStr">
        <is>
          <t>TOP:pmu_inst_Bond_por_hv</t>
        </is>
      </c>
      <c r="D124" s="83" t="inlineStr">
        <is>
          <t>Bond_por_hv[1:0]</t>
        </is>
      </c>
      <c r="E124" s="83">
        <f>IF(AND(ISNUMBER(FIND("[",D124)),ISNUMBER(FIND("]",D124)),ISNUMBER(FIND(":",D124))),MID(D124,FIND("[",D124)+1,FIND(":",D124)-FIND("[",D124)-1)+1-MID(D124,FIND(":",D124)+1,FIND("]",D124)-FIND(":",D124)-1),IF(OR(ISNUMBER(FIND("[",D124)),ISNUMBER(FIND("]",D124)),ISNUMBER(FIND(":",D124))),"ERROR",1))</f>
        <v/>
      </c>
      <c r="F124" s="98" t="inlineStr">
        <is>
          <t>A</t>
        </is>
      </c>
      <c r="G124" s="93" t="n"/>
      <c r="H124" s="93" t="n"/>
      <c r="I124" s="93" t="n"/>
      <c r="M124" s="72" t="n"/>
      <c r="P124" s="72" t="n"/>
      <c r="Q124" s="83" t="inlineStr">
        <is>
          <t xml:space="preserve">bond_por_hv[1] =1, vth_rise=2.3V 
vth_fall=2.2V.(default)
bond_por_hv[1] =0, vth_rise=2.1V ,
vth_fall=2.0V.
bond_por_hv[0]=1, enable por;
bond_por_hv[0]=0, disable por, rstn_por_lv=1 ; 
</t>
        </is>
      </c>
      <c r="R124" s="83" t="n"/>
      <c r="S124" s="83" t="n"/>
      <c r="T124" s="93" t="n"/>
    </row>
    <row r="125" hidden="1" ht="14.25" customHeight="1" s="26">
      <c r="A125" s="72" t="inlineStr">
        <is>
          <t>pmu_model.pmu_inst</t>
        </is>
      </c>
      <c r="B125" s="133" t="n"/>
      <c r="C125" s="83" t="inlineStr">
        <is>
          <t>core_pd.core_pd_inst</t>
        </is>
      </c>
      <c r="D125" s="83" t="inlineStr">
        <is>
          <t>rstn_por_lv</t>
        </is>
      </c>
      <c r="E125" s="83">
        <f>IF(AND(ISNUMBER(FIND("[",D125)),ISNUMBER(FIND("]",D125)),ISNUMBER(FIND(":",D125))),MID(D125,FIND("[",D125)+1,FIND(":",D125)-FIND("[",D125)-1)+1-MID(D125,FIND(":",D125)+1,FIND("]",D125)-FIND(":",D125)-1),IF(OR(ISNUMBER(FIND("[",D125)),ISNUMBER(FIND("]",D125)),ISNUMBER(FIND(":",D125))),"ERROR",1))</f>
        <v/>
      </c>
      <c r="F125" s="98" t="inlineStr">
        <is>
          <t>O</t>
        </is>
      </c>
      <c r="G125" s="93" t="n"/>
      <c r="H125" s="93" t="n"/>
      <c r="I125" s="93" t="n"/>
      <c r="J125" s="88" t="n"/>
      <c r="K125" s="88" t="n"/>
      <c r="L125" s="88" t="n"/>
      <c r="M125" s="89">
        <f>H125</f>
        <v/>
      </c>
      <c r="N125" s="88" t="n"/>
      <c r="O125" s="88">
        <f>IF(AND(OR(EXACT(F125,"I"),EXACT(F125,"O")),NOT(EXACT(P125,"NA"))),CONCATENATE("c_reg_test_sel_",RIGHT(IF(B125=0,LOOKUP(2,1/($B$2:B125&lt;&gt;0),$B$2:B125),B125),LEN(IF(B125=0,LOOKUP(2,1/($B$2:B125&lt;&gt;0),$B$2:B125),B125))-FIND(".",IF(B125=0,LOOKUP(2,1/($B$2:B125&lt;&gt;0),$B$2:B125),B125))),IF(0,CONCATENATE("&amp; !c_test_reg_pin_disable_",RIGHT(IF(B125=0,LOOKUP(2,1/($B$2:B125&lt;&gt;0),$B$2:B125),B125),LEN(IF(B125=0,LOOKUP(2,1/($B$2:B125&lt;&gt;0),$B$2:B125),B125))-FIND(".",IF(B125=0,LOOKUP(2,1/($B$2:B125&lt;&gt;0),$B$2:B125),B125)))),""),IF(P125,CONCATENATE("_grp_",P125),""),"/","c_pad_",RIGHT(IF(B125=0,LOOKUP(2,1/($B$2:B125&lt;&gt;0),$B$2:B125),B125),LEN(IF(B125=0,LOOKUP(2,1/($B$2:B125&lt;&gt;0),$B$2:B125),B125))-FIND(".",IF(B125=0,LOOKUP(2,1/($B$2:B125&lt;&gt;0),$B$2:B125),B125))),"_",IF(ISNUMBER(SEARCH("[",D125)),LEFT(D125,FIND("[",D125)-1),D125)),"")</f>
        <v/>
      </c>
      <c r="P125" s="28" t="n">
        <v>1</v>
      </c>
      <c r="Q125" s="83" t="inlineStr">
        <is>
          <t>Thereset signal of VCC_PMU low level indicates
reset staterstn_por_lv =”0”-] Reset state, the
VCC_PMU is not OK;
rstn_por_lv=”1”-] Normal state, theVCC_PMU is
OK.</t>
        </is>
      </c>
      <c r="R125" s="83" t="n"/>
      <c r="S125" s="83" t="n"/>
      <c r="T125" s="93" t="n"/>
    </row>
    <row r="126">
      <c r="A126" s="72" t="inlineStr">
        <is>
          <t>pmu_model.pmu_inst</t>
        </is>
      </c>
      <c r="B126" s="133" t="n"/>
      <c r="C126" s="83" t="inlineStr">
        <is>
          <t>core_pd.core_pd_inst</t>
        </is>
      </c>
      <c r="D126" s="83" t="inlineStr">
        <is>
          <t>lvd_eflash_en_lv</t>
        </is>
      </c>
      <c r="E126" s="83">
        <f>IF(AND(ISNUMBER(FIND("[",D126)),ISNUMBER(FIND("]",D126)),ISNUMBER(FIND(":",D126))),MID(D126,FIND("[",D126)+1,FIND(":",D126)-FIND("[",D126)-1)+1-MID(D126,FIND(":",D126)+1,FIND("]",D126)-FIND(":",D126)-1),IF(OR(ISNUMBER(FIND("[",D126)),ISNUMBER(FIND("]",D126)),ISNUMBER(FIND(":",D126))),"ERROR",1))</f>
        <v/>
      </c>
      <c r="F126" s="98" t="inlineStr">
        <is>
          <t>I</t>
        </is>
      </c>
      <c r="G126" s="93" t="n"/>
      <c r="H126" s="93" t="inlineStr">
        <is>
          <t>b0</t>
        </is>
      </c>
      <c r="I126" s="83" t="inlineStr">
        <is>
          <t>YES</t>
        </is>
      </c>
      <c r="J126" s="88" t="n"/>
      <c r="K126" s="88" t="n"/>
      <c r="L126" s="88" t="n"/>
      <c r="M126" s="89">
        <f>H126</f>
        <v/>
      </c>
      <c r="N126" s="88" t="n"/>
      <c r="O126" s="88">
        <f>IF(AND(OR(EXACT(F126,"I"),EXACT(F126,"O")),NOT(EXACT(P126,"NA"))),CONCATENATE("c_reg_test_sel_",RIGHT(IF(B126=0,LOOKUP(2,1/($B$2:B126&lt;&gt;0),$B$2:B126),B126),LEN(IF(B126=0,LOOKUP(2,1/($B$2:B126&lt;&gt;0),$B$2:B126),B126))-FIND(".",IF(B126=0,LOOKUP(2,1/($B$2:B126&lt;&gt;0),$B$2:B126),B126))),IF(0,CONCATENATE("&amp; !c_test_reg_pin_disable_",RIGHT(IF(B126=0,LOOKUP(2,1/($B$2:B126&lt;&gt;0),$B$2:B126),B126),LEN(IF(B126=0,LOOKUP(2,1/($B$2:B126&lt;&gt;0),$B$2:B126),B126))-FIND(".",IF(B126=0,LOOKUP(2,1/($B$2:B126&lt;&gt;0),$B$2:B126),B126)))),""),IF(P126,CONCATENATE("_grp_",P126),""),"/","c_pad_",RIGHT(IF(B126=0,LOOKUP(2,1/($B$2:B126&lt;&gt;0),$B$2:B126),B126),LEN(IF(B126=0,LOOKUP(2,1/($B$2:B126&lt;&gt;0),$B$2:B126),B126))-FIND(".",IF(B126=0,LOOKUP(2,1/($B$2:B126&lt;&gt;0),$B$2:B126),B126))),"_",IF(ISNUMBER(SEARCH("[",D126)),LEFT(D126,FIND("[",D126)-1),D126)),"")</f>
        <v/>
      </c>
      <c r="P126" s="28" t="n">
        <v>1</v>
      </c>
      <c r="Q126" s="111" t="inlineStr">
        <is>
          <t>bor_en_lv</t>
        </is>
      </c>
      <c r="R126" s="83" t="inlineStr">
        <is>
          <t>0x002C</t>
        </is>
      </c>
      <c r="S126" s="83" t="inlineStr">
        <is>
          <t>[0]</t>
        </is>
      </c>
      <c r="T126" s="93" t="n"/>
    </row>
    <row r="127">
      <c r="A127" s="72" t="inlineStr">
        <is>
          <t>pmu_model.pmu_inst</t>
        </is>
      </c>
      <c r="B127" s="133" t="n"/>
      <c r="C127" s="83" t="inlineStr">
        <is>
          <t>core_pd.core_pd_inst</t>
        </is>
      </c>
      <c r="D127" s="83" t="inlineStr">
        <is>
          <t>reg_lvd_eflash_lv[3:0]</t>
        </is>
      </c>
      <c r="E127" s="83">
        <f>IF(AND(ISNUMBER(FIND("[",D127)),ISNUMBER(FIND("]",D127)),ISNUMBER(FIND(":",D127))),MID(D127,FIND("[",D127)+1,FIND(":",D127)-FIND("[",D127)-1)+1-MID(D127,FIND(":",D127)+1,FIND("]",D127)-FIND(":",D127)-1),IF(OR(ISNUMBER(FIND("[",D127)),ISNUMBER(FIND("]",D127)),ISNUMBER(FIND(":",D127))),"ERROR",1))</f>
        <v/>
      </c>
      <c r="F127" s="98" t="inlineStr">
        <is>
          <t>I</t>
        </is>
      </c>
      <c r="G127" s="93" t="n"/>
      <c r="H127" s="93" t="inlineStr">
        <is>
          <t>b0000</t>
        </is>
      </c>
      <c r="I127" s="83" t="inlineStr">
        <is>
          <t>YES</t>
        </is>
      </c>
      <c r="J127" s="88" t="n"/>
      <c r="K127" s="88" t="n"/>
      <c r="L127" s="88" t="n"/>
      <c r="M127" s="89">
        <f>H127</f>
        <v/>
      </c>
      <c r="N127" s="88" t="n"/>
      <c r="O127" s="88">
        <f>IF(AND(OR(EXACT(F127,"I"),EXACT(F127,"O")),NOT(EXACT(P127,"NA"))),CONCATENATE("c_reg_test_sel_",RIGHT(IF(B127=0,LOOKUP(2,1/($B$2:B127&lt;&gt;0),$B$2:B127),B127),LEN(IF(B127=0,LOOKUP(2,1/($B$2:B127&lt;&gt;0),$B$2:B127),B127))-FIND(".",IF(B127=0,LOOKUP(2,1/($B$2:B127&lt;&gt;0),$B$2:B127),B127))),IF(0,CONCATENATE("&amp; !c_test_reg_pin_disable_",RIGHT(IF(B127=0,LOOKUP(2,1/($B$2:B127&lt;&gt;0),$B$2:B127),B127),LEN(IF(B127=0,LOOKUP(2,1/($B$2:B127&lt;&gt;0),$B$2:B127),B127))-FIND(".",IF(B127=0,LOOKUP(2,1/($B$2:B127&lt;&gt;0),$B$2:B127),B127)))),""),IF(P127,CONCATENATE("_grp_",P127),""),"/","c_pad_",RIGHT(IF(B127=0,LOOKUP(2,1/($B$2:B127&lt;&gt;0),$B$2:B127),B127),LEN(IF(B127=0,LOOKUP(2,1/($B$2:B127&lt;&gt;0),$B$2:B127),B127))-FIND(".",IF(B127=0,LOOKUP(2,1/($B$2:B127&lt;&gt;0),$B$2:B127),B127))),"_",IF(ISNUMBER(SEARCH("[",D127)),LEFT(D127,FIND("[",D127)-1),D127)),"")</f>
        <v/>
      </c>
      <c r="P127" s="28" t="n">
        <v>1</v>
      </c>
      <c r="Q127" s="111" t="inlineStr">
        <is>
          <t>reg_bor_lv[3:0]</t>
        </is>
      </c>
      <c r="R127" s="83" t="inlineStr">
        <is>
          <t>0x002C</t>
        </is>
      </c>
      <c r="S127" s="83" t="inlineStr">
        <is>
          <t>[7:4]</t>
        </is>
      </c>
      <c r="T127" s="93" t="n"/>
    </row>
    <row r="128" hidden="1" s="26">
      <c r="A128" s="72" t="inlineStr">
        <is>
          <t>pmu_model.pmu_inst</t>
        </is>
      </c>
      <c r="B128" s="133" t="n"/>
      <c r="C128" s="83" t="inlineStr">
        <is>
          <t>core_pd.core_pd_inst</t>
        </is>
      </c>
      <c r="D128" s="83" t="inlineStr">
        <is>
          <t>rstn_lvd_flash_lv</t>
        </is>
      </c>
      <c r="E128" s="83">
        <f>IF(AND(ISNUMBER(FIND("[",D128)),ISNUMBER(FIND("]",D128)),ISNUMBER(FIND(":",D128))),MID(D128,FIND("[",D128)+1,FIND(":",D128)-FIND("[",D128)-1)+1-MID(D128,FIND(":",D128)+1,FIND("]",D128)-FIND(":",D128)-1),IF(OR(ISNUMBER(FIND("[",D128)),ISNUMBER(FIND("]",D128)),ISNUMBER(FIND(":",D128))),"ERROR",1))</f>
        <v/>
      </c>
      <c r="F128" s="98" t="inlineStr">
        <is>
          <t>O</t>
        </is>
      </c>
      <c r="G128" s="93" t="n"/>
      <c r="H128" s="93" t="n"/>
      <c r="I128" s="83" t="inlineStr">
        <is>
          <t>YES</t>
        </is>
      </c>
      <c r="J128" s="88" t="n"/>
      <c r="K128" s="88" t="n"/>
      <c r="L128" s="88" t="n"/>
      <c r="M128" s="89">
        <f>H128</f>
        <v/>
      </c>
      <c r="N128" s="88" t="n"/>
      <c r="O128" s="88">
        <f>IF(AND(OR(EXACT(F128,"I"),EXACT(F128,"O")),NOT(EXACT(P128,"NA"))),CONCATENATE("c_reg_test_sel_",RIGHT(IF(B128=0,LOOKUP(2,1/($B$2:B128&lt;&gt;0),$B$2:B128),B128),LEN(IF(B128=0,LOOKUP(2,1/($B$2:B128&lt;&gt;0),$B$2:B128),B128))-FIND(".",IF(B128=0,LOOKUP(2,1/($B$2:B128&lt;&gt;0),$B$2:B128),B128))),IF(0,CONCATENATE("&amp; !c_test_reg_pin_disable_",RIGHT(IF(B128=0,LOOKUP(2,1/($B$2:B128&lt;&gt;0),$B$2:B128),B128),LEN(IF(B128=0,LOOKUP(2,1/($B$2:B128&lt;&gt;0),$B$2:B128),B128))-FIND(".",IF(B128=0,LOOKUP(2,1/($B$2:B128&lt;&gt;0),$B$2:B128),B128)))),""),IF(P128,CONCATENATE("_grp_",P128),""),"/","c_pad_",RIGHT(IF(B128=0,LOOKUP(2,1/($B$2:B128&lt;&gt;0),$B$2:B128),B128),LEN(IF(B128=0,LOOKUP(2,1/($B$2:B128&lt;&gt;0),$B$2:B128),B128))-FIND(".",IF(B128=0,LOOKUP(2,1/($B$2:B128&lt;&gt;0),$B$2:B128),B128))),"_",IF(ISNUMBER(SEARCH("[",D128)),LEFT(D128,FIND("[",D128)-1),D128)),"")</f>
        <v/>
      </c>
      <c r="P128" s="28" t="n">
        <v>1</v>
      </c>
      <c r="Q128" s="83" t="inlineStr">
        <is>
          <t>RSTN_BOR_LV</t>
        </is>
      </c>
      <c r="R128" s="112" t="inlineStr">
        <is>
          <t>0x002D</t>
        </is>
      </c>
      <c r="S128" s="83" t="n"/>
      <c r="T128" s="93" t="n"/>
    </row>
    <row r="129" ht="47.25" customHeight="1" s="26">
      <c r="A129" s="72" t="inlineStr">
        <is>
          <t>pmu_model.pmu_inst</t>
        </is>
      </c>
      <c r="B129" s="133" t="n"/>
      <c r="C129" s="83" t="inlineStr">
        <is>
          <t>core_pd.core_pd_inst</t>
        </is>
      </c>
      <c r="D129" s="83" t="inlineStr">
        <is>
          <t>pvd_en_lv</t>
        </is>
      </c>
      <c r="E129" s="83">
        <f>IF(AND(ISNUMBER(FIND("[",D129)),ISNUMBER(FIND("]",D129)),ISNUMBER(FIND(":",D129))),MID(D129,FIND("[",D129)+1,FIND(":",D129)-FIND("[",D129)-1)+1-MID(D129,FIND(":",D129)+1,FIND("]",D129)-FIND(":",D129)-1),IF(OR(ISNUMBER(FIND("[",D129)),ISNUMBER(FIND("]",D129)),ISNUMBER(FIND(":",D129))),"ERROR",1))</f>
        <v/>
      </c>
      <c r="F129" s="98" t="inlineStr">
        <is>
          <t>I</t>
        </is>
      </c>
      <c r="G129" s="93" t="n"/>
      <c r="H129" s="93" t="inlineStr">
        <is>
          <t>b0</t>
        </is>
      </c>
      <c r="I129" s="83" t="inlineStr">
        <is>
          <t>YES</t>
        </is>
      </c>
      <c r="J129" s="88" t="n"/>
      <c r="K129" s="88" t="n"/>
      <c r="L129" s="88" t="n"/>
      <c r="M129" s="89">
        <f>H129</f>
        <v/>
      </c>
      <c r="N129" s="88" t="n"/>
      <c r="O129" s="88">
        <f>IF(AND(OR(EXACT(F129,"I"),EXACT(F129,"O")),NOT(EXACT(P129,"NA"))),CONCATENATE("c_reg_test_sel_",RIGHT(IF(B129=0,LOOKUP(2,1/($B$2:B129&lt;&gt;0),$B$2:B129),B129),LEN(IF(B129=0,LOOKUP(2,1/($B$2:B129&lt;&gt;0),$B$2:B129),B129))-FIND(".",IF(B129=0,LOOKUP(2,1/($B$2:B129&lt;&gt;0),$B$2:B129),B129))),IF(0,CONCATENATE("&amp; !c_test_reg_pin_disable_",RIGHT(IF(B129=0,LOOKUP(2,1/($B$2:B129&lt;&gt;0),$B$2:B129),B129),LEN(IF(B129=0,LOOKUP(2,1/($B$2:B129&lt;&gt;0),$B$2:B129),B129))-FIND(".",IF(B129=0,LOOKUP(2,1/($B$2:B129&lt;&gt;0),$B$2:B129),B129)))),""),IF(P129,CONCATENATE("_grp_",P129),""),"/","c_pad_",RIGHT(IF(B129=0,LOOKUP(2,1/($B$2:B129&lt;&gt;0),$B$2:B129),B129),LEN(IF(B129=0,LOOKUP(2,1/($B$2:B129&lt;&gt;0),$B$2:B129),B129))-FIND(".",IF(B129=0,LOOKUP(2,1/($B$2:B129&lt;&gt;0),$B$2:B129),B129))),"_",IF(ISNUMBER(SEARCH("[",D129)),LEFT(D129,FIND("[",D129)-1),D129)),"")</f>
        <v/>
      </c>
      <c r="P129" s="28" t="n">
        <v>1</v>
      </c>
      <c r="Q129" s="83" t="inlineStr">
        <is>
          <t>the enable signal of PVD, high active
pvd_en_lv=”0”-]disable PVD， rstn_pvd_lv=”1” ；
pvd_en_lv =”1” -]enable PVD.</t>
        </is>
      </c>
      <c r="R129" s="83" t="inlineStr">
        <is>
          <t>0x002E</t>
        </is>
      </c>
      <c r="S129" s="83" t="inlineStr">
        <is>
          <t>[0]</t>
        </is>
      </c>
      <c r="T129" s="93" t="n"/>
    </row>
    <row r="130" ht="346.5" customHeight="1" s="26">
      <c r="A130" s="72" t="inlineStr">
        <is>
          <t>pmu_model.pmu_inst</t>
        </is>
      </c>
      <c r="B130" s="133" t="n"/>
      <c r="C130" s="83" t="inlineStr">
        <is>
          <t>core_pd.core_pd_inst</t>
        </is>
      </c>
      <c r="D130" s="83" t="inlineStr">
        <is>
          <t>reg_pvd_lv[3:0]</t>
        </is>
      </c>
      <c r="E130" s="83">
        <f>IF(AND(ISNUMBER(FIND("[",D130)),ISNUMBER(FIND("]",D130)),ISNUMBER(FIND(":",D130))),MID(D130,FIND("[",D130)+1,FIND(":",D130)-FIND("[",D130)-1)+1-MID(D130,FIND(":",D130)+1,FIND("]",D130)-FIND(":",D130)-1),IF(OR(ISNUMBER(FIND("[",D130)),ISNUMBER(FIND("]",D130)),ISNUMBER(FIND(":",D130))),"ERROR",1))</f>
        <v/>
      </c>
      <c r="F130" s="98" t="inlineStr">
        <is>
          <t>I</t>
        </is>
      </c>
      <c r="G130" s="93" t="n"/>
      <c r="H130" s="93" t="inlineStr">
        <is>
          <t>b000</t>
        </is>
      </c>
      <c r="I130" s="83" t="inlineStr">
        <is>
          <t>YES</t>
        </is>
      </c>
      <c r="J130" s="88" t="n"/>
      <c r="K130" s="88" t="n"/>
      <c r="L130" s="88" t="n"/>
      <c r="M130" s="89">
        <f>H130</f>
        <v/>
      </c>
      <c r="N130" s="88" t="n"/>
      <c r="O130" s="88">
        <f>IF(AND(OR(EXACT(F130,"I"),EXACT(F130,"O")),NOT(EXACT(P130,"NA"))),CONCATENATE("c_reg_test_sel_",RIGHT(IF(B130=0,LOOKUP(2,1/($B$2:B130&lt;&gt;0),$B$2:B130),B130),LEN(IF(B130=0,LOOKUP(2,1/($B$2:B130&lt;&gt;0),$B$2:B130),B130))-FIND(".",IF(B130=0,LOOKUP(2,1/($B$2:B130&lt;&gt;0),$B$2:B130),B130))),IF(0,CONCATENATE("&amp; !c_test_reg_pin_disable_",RIGHT(IF(B130=0,LOOKUP(2,1/($B$2:B130&lt;&gt;0),$B$2:B130),B130),LEN(IF(B130=0,LOOKUP(2,1/($B$2:B130&lt;&gt;0),$B$2:B130),B130))-FIND(".",IF(B130=0,LOOKUP(2,1/($B$2:B130&lt;&gt;0),$B$2:B130),B130)))),""),IF(P130,CONCATENATE("_grp_",P130),""),"/","c_pad_",RIGHT(IF(B130=0,LOOKUP(2,1/($B$2:B130&lt;&gt;0),$B$2:B130),B130),LEN(IF(B130=0,LOOKUP(2,1/($B$2:B130&lt;&gt;0),$B$2:B130),B130))-FIND(".",IF(B130=0,LOOKUP(2,1/($B$2:B130&lt;&gt;0),$B$2:B130),B130))),"_",IF(ISNUMBER(SEARCH("[",D130)),LEFT(D130,FIND("[",D130)-1),D130)),"")</f>
        <v/>
      </c>
      <c r="P130" s="28" t="n">
        <v>1</v>
      </c>
      <c r="Q130" s="83" t="inlineStr">
        <is>
          <t>reg_pvd_lv[3:0]
Theregisters to configurethedetector voltage of the
VCC_PMU
reg_pvd_lv[3:0] =4b’1111-]vr=5.39V , vf=5.24V ；
reg_pvd_lv[3:0] =4b’1110-]vr=5.1V, vf=4.96V ；
reg_pvd_lv[3:0] =4b’1101-]vr=4.79V,vf=4.67V ；
reg_pvd_lv[3:0] =4b’1100-]vr=4.55V,vf=4.44V ；
reg_pvd_lv[3:0] =4b’1011-]vr=4.34V,vf=4.24V ；
reg_pvd_lv[3:0] =4b’1010-]vr=4.15V,vf=4.03V ；
reg_pvd_lv[3:0] =4b’1001-]vr=3.91V,
vf=3.81V ；
reg_pvd_lv[3:0] =4b’1000-]vr=3.7V ,
vf=3.56V ；
reg_pvd_lv[3:0] =4b’0111-]vr=3.47V, vf=3.37V ；
reg_pvd_lv[3:0] =4b’0110-]vr=3.25V, vf=3.14V ；
reg_pvd_lv[3:0] =4b’0101-]vr=3.04V,
vf=2.93V ；
reg_pvd_lv[3:0] =4b’0100-]vr=2.82V,
vf=2.71V ；
reg_pvd_lv[3:0] =4b’0011-]vr=2.6V, vf=2.49V ；
reg_pvd_lv[3:0] =4b’0010-]vr=2.38V,
vf=2.28V ；</t>
        </is>
      </c>
      <c r="R130" s="83" t="inlineStr">
        <is>
          <t xml:space="preserve"> 0x002E</t>
        </is>
      </c>
      <c r="S130" s="83" t="inlineStr">
        <is>
          <t>[7:4]</t>
        </is>
      </c>
      <c r="T130" s="93" t="n"/>
    </row>
    <row r="131" hidden="1" ht="110.25" customHeight="1" s="26">
      <c r="A131" s="72" t="inlineStr">
        <is>
          <t>pmu_model.pmu_inst</t>
        </is>
      </c>
      <c r="B131" s="133" t="n"/>
      <c r="C131" s="83" t="inlineStr">
        <is>
          <t>core_pd.core_pd_inst</t>
        </is>
      </c>
      <c r="D131" s="83" t="inlineStr">
        <is>
          <t>rstn_pvd_lv</t>
        </is>
      </c>
      <c r="E131" s="83">
        <f>IF(AND(ISNUMBER(FIND("[",D131)),ISNUMBER(FIND("]",D131)),ISNUMBER(FIND(":",D131))),MID(D131,FIND("[",D131)+1,FIND(":",D131)-FIND("[",D131)-1)+1-MID(D131,FIND(":",D131)+1,FIND("]",D131)-FIND(":",D131)-1),IF(OR(ISNUMBER(FIND("[",D131)),ISNUMBER(FIND("]",D131)),ISNUMBER(FIND(":",D131))),"ERROR",1))</f>
        <v/>
      </c>
      <c r="F131" s="98" t="inlineStr">
        <is>
          <t>O</t>
        </is>
      </c>
      <c r="G131" s="93" t="n"/>
      <c r="H131" s="93" t="n"/>
      <c r="I131" s="83" t="inlineStr">
        <is>
          <t>YES</t>
        </is>
      </c>
      <c r="J131" s="88" t="n"/>
      <c r="K131" s="88" t="n"/>
      <c r="L131" s="88" t="n"/>
      <c r="M131" s="89">
        <f>H131</f>
        <v/>
      </c>
      <c r="N131" s="88" t="n"/>
      <c r="O131" s="88">
        <f>IF(AND(OR(EXACT(F131,"I"),EXACT(F131,"O")),NOT(EXACT(P131,"NA"))),CONCATENATE("c_reg_test_sel_",RIGHT(IF(B131=0,LOOKUP(2,1/($B$2:B131&lt;&gt;0),$B$2:B131),B131),LEN(IF(B131=0,LOOKUP(2,1/($B$2:B131&lt;&gt;0),$B$2:B131),B131))-FIND(".",IF(B131=0,LOOKUP(2,1/($B$2:B131&lt;&gt;0),$B$2:B131),B131))),IF(0,CONCATENATE("&amp; !c_test_reg_pin_disable_",RIGHT(IF(B131=0,LOOKUP(2,1/($B$2:B131&lt;&gt;0),$B$2:B131),B131),LEN(IF(B131=0,LOOKUP(2,1/($B$2:B131&lt;&gt;0),$B$2:B131),B131))-FIND(".",IF(B131=0,LOOKUP(2,1/($B$2:B131&lt;&gt;0),$B$2:B131),B131)))),""),IF(P131,CONCATENATE("_grp_",P131),""),"/","c_pad_",RIGHT(IF(B131=0,LOOKUP(2,1/($B$2:B131&lt;&gt;0),$B$2:B131),B131),LEN(IF(B131=0,LOOKUP(2,1/($B$2:B131&lt;&gt;0),$B$2:B131),B131))-FIND(".",IF(B131=0,LOOKUP(2,1/($B$2:B131&lt;&gt;0),$B$2:B131),B131))),"_",IF(ISNUMBER(SEARCH("[",D131)),LEFT(D131,FIND("[",D131)-1),D131)),"")</f>
        <v/>
      </c>
      <c r="P131" s="28" t="n">
        <v>1</v>
      </c>
      <c r="Q131" s="83" t="inlineStr">
        <is>
          <t>Thereset signal of VCC_PMU, low level indicates
reset state
rstn_pvd_lv =”0”-] Reset state, theVCC_PMU is
below thedetector voltage;
rstn_pvd_lv =”1”-] Normal state, theVCC_PMU is
above the detector voltage.
When pvd_en_lv =”0”-] rstn_pvd_lv =”1”’</t>
        </is>
      </c>
      <c r="R131" s="112" t="inlineStr">
        <is>
          <t>0x002F</t>
        </is>
      </c>
      <c r="S131" s="83" t="n"/>
      <c r="T131" s="93" t="n"/>
    </row>
    <row r="132" hidden="1" ht="157.5" customHeight="1" s="26">
      <c r="A132" s="72" t="inlineStr">
        <is>
          <t>pmu_model.pmu_inst</t>
        </is>
      </c>
      <c r="B132" s="133" t="n"/>
      <c r="C132" s="83" t="inlineStr">
        <is>
          <t>TOP:pmu_inst_ext_ldo_en_hv</t>
        </is>
      </c>
      <c r="D132" s="83" t="inlineStr">
        <is>
          <t>ext_ldo_en_hv</t>
        </is>
      </c>
      <c r="E132" s="83">
        <f>IF(AND(ISNUMBER(FIND("[",D132)),ISNUMBER(FIND("]",D132)),ISNUMBER(FIND(":",D132))),MID(D132,FIND("[",D132)+1,FIND(":",D132)-FIND("[",D132)-1)+1-MID(D132,FIND(":",D132)+1,FIND("]",D132)-FIND(":",D132)-1),IF(OR(ISNUMBER(FIND("[",D132)),ISNUMBER(FIND("]",D132)),ISNUMBER(FIND(":",D132))),"ERROR",1))</f>
        <v/>
      </c>
      <c r="F132" s="98" t="inlineStr">
        <is>
          <t>A</t>
        </is>
      </c>
      <c r="G132" s="93" t="n"/>
      <c r="H132" s="93" t="inlineStr">
        <is>
          <t>b0</t>
        </is>
      </c>
      <c r="I132" s="99" t="n"/>
      <c r="M132" s="72" t="n"/>
      <c r="P132" s="72" t="n"/>
      <c r="Q132" s="102" t="inlineStr">
        <is>
          <t>1.5V测试使能信号：使能之前，先将外部 1.5V
电源从EXT_LDO 端口输入，然后将
ext_ldo_en_lv 信号置为”1”, 进入测试模式LPBGP
保持开启（需要芯片上电完成之后） ， 此时芯
片内部V12AON /V12M输 出 关 闭 （由外部
1.5V电源提供）， V12M_OK_LV 信号强制
为”1”;
此时可以改变外部 1.5V 电压，来测试该部分负
载电路的可工作电源范围。注意控制时序。
测试结束时，撤去外灌的 1.5V 电压（无论</t>
        </is>
      </c>
      <c r="R132" s="83" t="n"/>
      <c r="S132" s="83" t="n"/>
      <c r="T132" s="93" t="n"/>
    </row>
    <row r="133">
      <c r="A133" s="72" t="inlineStr">
        <is>
          <t>pmu_model.pmu_inst</t>
        </is>
      </c>
      <c r="B133" s="133" t="n"/>
      <c r="C133" s="83" t="inlineStr">
        <is>
          <t>core_pd.core_pd_inst</t>
        </is>
      </c>
      <c r="D133" s="83" t="inlineStr">
        <is>
          <t>reg_lpbgp_lv[5:0]</t>
        </is>
      </c>
      <c r="E133" s="83">
        <f>IF(AND(ISNUMBER(FIND("[",D133)),ISNUMBER(FIND("]",D133)),ISNUMBER(FIND(":",D133))),MID(D133,FIND("[",D133)+1,FIND(":",D133)-FIND("[",D133)-1)+1-MID(D133,FIND(":",D133)+1,FIND("]",D133)-FIND(":",D133)-1),IF(OR(ISNUMBER(FIND("[",D133)),ISNUMBER(FIND("]",D133)),ISNUMBER(FIND(":",D133))),"ERROR",1))</f>
        <v/>
      </c>
      <c r="F133" s="98" t="inlineStr">
        <is>
          <t>I</t>
        </is>
      </c>
      <c r="G133" s="93" t="n"/>
      <c r="H133" s="93" t="inlineStr">
        <is>
          <t>b000000</t>
        </is>
      </c>
      <c r="I133" s="93" t="inlineStr">
        <is>
          <t>YES</t>
        </is>
      </c>
      <c r="J133" s="88" t="n"/>
      <c r="K133" s="88" t="n"/>
      <c r="L133" s="88" t="n"/>
      <c r="M133" s="89">
        <f>H133</f>
        <v/>
      </c>
      <c r="N133" s="88" t="n"/>
      <c r="O133" s="88">
        <f>IF(AND(OR(EXACT(F133,"I"),EXACT(F133,"O")),NOT(EXACT(P133,"NA"))),CONCATENATE("c_reg_test_sel_",RIGHT(IF(B133=0,LOOKUP(2,1/($B$2:B133&lt;&gt;0),$B$2:B133),B133),LEN(IF(B133=0,LOOKUP(2,1/($B$2:B133&lt;&gt;0),$B$2:B133),B133))-FIND(".",IF(B133=0,LOOKUP(2,1/($B$2:B133&lt;&gt;0),$B$2:B133),B133))),IF(0,CONCATENATE("&amp; !c_test_reg_pin_disable_",RIGHT(IF(B133=0,LOOKUP(2,1/($B$2:B133&lt;&gt;0),$B$2:B133),B133),LEN(IF(B133=0,LOOKUP(2,1/($B$2:B133&lt;&gt;0),$B$2:B133),B133))-FIND(".",IF(B133=0,LOOKUP(2,1/($B$2:B133&lt;&gt;0),$B$2:B133),B133)))),""),IF(P133,CONCATENATE("_grp_",P133),""),"/","c_pad_",RIGHT(IF(B133=0,LOOKUP(2,1/($B$2:B133&lt;&gt;0),$B$2:B133),B133),LEN(IF(B133=0,LOOKUP(2,1/($B$2:B133&lt;&gt;0),$B$2:B133),B133))-FIND(".",IF(B133=0,LOOKUP(2,1/($B$2:B133&lt;&gt;0),$B$2:B133),B133))),"_",IF(ISNUMBER(SEARCH("[",D133)),LEFT(D133,FIND("[",D133)-1),D133)),"")</f>
        <v/>
      </c>
      <c r="P133" s="90" t="inlineStr">
        <is>
          <t>NA</t>
        </is>
      </c>
      <c r="Q133" s="83" t="inlineStr">
        <is>
          <t>reserved</t>
        </is>
      </c>
      <c r="R133" s="83" t="inlineStr">
        <is>
          <t xml:space="preserve"> 0x0031</t>
        </is>
      </c>
      <c r="S133" s="83" t="inlineStr">
        <is>
          <t>[5:0]</t>
        </is>
      </c>
      <c r="T133" s="93" t="n"/>
    </row>
    <row r="134" hidden="1" ht="63" customHeight="1" s="26">
      <c r="A134" s="72" t="inlineStr">
        <is>
          <t>pmu_model.pmu_inst</t>
        </is>
      </c>
      <c r="B134" s="133" t="n"/>
      <c r="C134" s="83" t="inlineStr">
        <is>
          <t>TOP:pmu_inst_V12_AON</t>
        </is>
      </c>
      <c r="D134" s="83" t="inlineStr">
        <is>
          <t>V12_AON</t>
        </is>
      </c>
      <c r="E134" s="83">
        <f>IF(AND(ISNUMBER(FIND("[",D134)),ISNUMBER(FIND("]",D134)),ISNUMBER(FIND(":",D134))),MID(D134,FIND("[",D134)+1,FIND(":",D134)-FIND("[",D134)-1)+1-MID(D134,FIND(":",D134)+1,FIND("]",D134)-FIND(":",D134)-1),IF(OR(ISNUMBER(FIND("[",D134)),ISNUMBER(FIND("]",D134)),ISNUMBER(FIND(":",D134))),"ERROR",1))</f>
        <v/>
      </c>
      <c r="F134" s="98" t="inlineStr">
        <is>
          <t>A</t>
        </is>
      </c>
      <c r="G134" s="93" t="inlineStr">
        <is>
          <t>1.5V</t>
        </is>
      </c>
      <c r="H134" s="93" t="n"/>
      <c r="I134" s="99" t="n"/>
      <c r="M134" s="72" t="n"/>
      <c r="P134" s="113" t="n">
        <v>2</v>
      </c>
      <c r="Q134" s="102" t="inlineStr">
        <is>
          <t>1.5V always-on power for always on domain the
output of LPLDO
No need external capacitor for V12_AON, the
driving ability is 200uA</t>
        </is>
      </c>
      <c r="R134" s="83" t="n"/>
      <c r="S134" s="83" t="n"/>
      <c r="T134" s="93" t="n"/>
    </row>
    <row r="135" hidden="1" ht="31.5" customHeight="1" s="26">
      <c r="A135" s="72" t="inlineStr">
        <is>
          <t>pmu_model.pmu_inst</t>
        </is>
      </c>
      <c r="B135" s="133" t="n"/>
      <c r="C135" s="109" t="inlineStr">
        <is>
          <t>TOP:pmu_inst_IAO_60N</t>
        </is>
      </c>
      <c r="D135" s="109" t="inlineStr">
        <is>
          <t>IAO_60N[1:0]</t>
        </is>
      </c>
      <c r="E135" s="109">
        <f>IF(AND(ISNUMBER(FIND("[",D135)),ISNUMBER(FIND("]",D135)),ISNUMBER(FIND(":",D135))),MID(D135,FIND("[",D135)+1,FIND(":",D135)-FIND("[",D135)-1)+1-MID(D135,FIND(":",D135)+1,FIND("]",D135)-FIND(":",D135)-1),IF(OR(ISNUMBER(FIND("[",D135)),ISNUMBER(FIND("]",D135)),ISNUMBER(FIND(":",D135))),"ERROR",1))</f>
        <v/>
      </c>
      <c r="F135" s="110" t="inlineStr">
        <is>
          <t>A</t>
        </is>
      </c>
      <c r="G135" s="93" t="n"/>
      <c r="H135" s="93" t="n"/>
      <c r="I135" s="93" t="n"/>
      <c r="M135" s="72" t="n"/>
      <c r="P135" s="113" t="n">
        <v>2</v>
      </c>
      <c r="Q135" s="111" t="inlineStr">
        <is>
          <t xml:space="preserve">Floating
</t>
        </is>
      </c>
      <c r="R135" s="83" t="n"/>
      <c r="S135" s="83" t="n"/>
      <c r="T135" s="93" t="n"/>
    </row>
    <row r="136" hidden="1" s="26">
      <c r="A136" s="72" t="inlineStr">
        <is>
          <t>pmu_model.pmu_inst</t>
        </is>
      </c>
      <c r="B136" s="133" t="n"/>
      <c r="C136" s="109" t="inlineStr">
        <is>
          <t>TOP:pmu_inst_IAO_240N</t>
        </is>
      </c>
      <c r="D136" s="109" t="inlineStr">
        <is>
          <t>IAO_240N[1:0]</t>
        </is>
      </c>
      <c r="E136" s="109">
        <f>IF(AND(ISNUMBER(FIND("[",D136)),ISNUMBER(FIND("]",D136)),ISNUMBER(FIND(":",D136))),MID(D136,FIND("[",D136)+1,FIND(":",D136)-FIND("[",D136)-1)+1-MID(D136,FIND(":",D136)+1,FIND("]",D136)-FIND(":",D136)-1),IF(OR(ISNUMBER(FIND("[",D136)),ISNUMBER(FIND("]",D136)),ISNUMBER(FIND(":",D136))),"ERROR",1))</f>
        <v/>
      </c>
      <c r="F136" s="110" t="inlineStr">
        <is>
          <t>A</t>
        </is>
      </c>
      <c r="G136" s="93" t="n"/>
      <c r="H136" s="93" t="n"/>
      <c r="I136" s="93" t="n"/>
      <c r="M136" s="72" t="n"/>
      <c r="P136" s="113" t="n">
        <v>2</v>
      </c>
      <c r="Q136" s="111" t="inlineStr">
        <is>
          <t>240nA--]CMP</t>
        </is>
      </c>
      <c r="R136" s="83" t="n"/>
      <c r="S136" s="83" t="n"/>
      <c r="T136" s="93" t="n"/>
    </row>
    <row r="137" ht="141.75" customHeight="1" s="26">
      <c r="A137" s="72" t="inlineStr">
        <is>
          <t>pmu_model.pmu_inst</t>
        </is>
      </c>
      <c r="B137" s="133" t="n"/>
      <c r="C137" s="83" t="inlineStr">
        <is>
          <t>core_pd.core_pd_inst</t>
        </is>
      </c>
      <c r="D137" s="83" t="inlineStr">
        <is>
          <t>reg_lpldo_lv[4:0]</t>
        </is>
      </c>
      <c r="E137" s="83">
        <f>IF(AND(ISNUMBER(FIND("[",D137)),ISNUMBER(FIND("]",D137)),ISNUMBER(FIND(":",D137))),MID(D137,FIND("[",D137)+1,FIND(":",D137)-FIND("[",D137)-1)+1-MID(D137,FIND(":",D137)+1,FIND("]",D137)-FIND(":",D137)-1),IF(OR(ISNUMBER(FIND("[",D137)),ISNUMBER(FIND("]",D137)),ISNUMBER(FIND(":",D137))),"ERROR",1))</f>
        <v/>
      </c>
      <c r="F137" s="98" t="inlineStr">
        <is>
          <t>I</t>
        </is>
      </c>
      <c r="G137" s="93" t="n"/>
      <c r="H137" s="93" t="inlineStr">
        <is>
          <t>b00000</t>
        </is>
      </c>
      <c r="I137" s="93" t="inlineStr">
        <is>
          <t>YES</t>
        </is>
      </c>
      <c r="J137" s="88" t="n"/>
      <c r="K137" s="88" t="n"/>
      <c r="L137" s="88" t="n"/>
      <c r="M137" s="89">
        <f>H137</f>
        <v/>
      </c>
      <c r="N137" s="88" t="n"/>
      <c r="O137" s="88">
        <f>IF(AND(OR(EXACT(F137,"I"),EXACT(F137,"O")),NOT(EXACT(P137,"NA"))),CONCATENATE("c_reg_test_sel_",RIGHT(IF(B137=0,LOOKUP(2,1/($B$2:B137&lt;&gt;0),$B$2:B137),B137),LEN(IF(B137=0,LOOKUP(2,1/($B$2:B137&lt;&gt;0),$B$2:B137),B137))-FIND(".",IF(B137=0,LOOKUP(2,1/($B$2:B137&lt;&gt;0),$B$2:B137),B137))),IF(0,CONCATENATE("&amp; !c_test_reg_pin_disable_",RIGHT(IF(B137=0,LOOKUP(2,1/($B$2:B137&lt;&gt;0),$B$2:B137),B137),LEN(IF(B137=0,LOOKUP(2,1/($B$2:B137&lt;&gt;0),$B$2:B137),B137))-FIND(".",IF(B137=0,LOOKUP(2,1/($B$2:B137&lt;&gt;0),$B$2:B137),B137)))),""),IF(P137,CONCATENATE("_grp_",P137),""),"/","c_pad_",RIGHT(IF(B137=0,LOOKUP(2,1/($B$2:B137&lt;&gt;0),$B$2:B137),B137),LEN(IF(B137=0,LOOKUP(2,1/($B$2:B137&lt;&gt;0),$B$2:B137),B137))-FIND(".",IF(B137=0,LOOKUP(2,1/($B$2:B137&lt;&gt;0),$B$2:B137),B137))),"_",IF(ISNUMBER(SEARCH("[",D137)),LEFT(D137,FIND("[",D137)-1),D137)),"")</f>
        <v/>
      </c>
      <c r="P137" s="28" t="n">
        <v>2</v>
      </c>
      <c r="Q137" s="83" t="inlineStr">
        <is>
          <t>Theregisters to configurethereferencevoltage of
the LPLDO;
reg_lpldo_lv [4:0] (最高位反向)
reg_lpldo_lv [4:0] =5b’111111-]1.185V
……（14.9mV/step）
reg_lpldo_lv [4:0]=5b’10000]1.006V(min)
reg_lpldo_lv [4:0]=5b’01111]1.46V(max)
……（14.9mV/step）
reg_lpldo_lv [4:0] =5b’00000-]1.5V(default)</t>
        </is>
      </c>
      <c r="R137" s="83" t="inlineStr">
        <is>
          <t xml:space="preserve"> 0x0032</t>
        </is>
      </c>
      <c r="S137" s="83" t="inlineStr">
        <is>
          <t>[4:0]</t>
        </is>
      </c>
      <c r="T137" s="93" t="n"/>
    </row>
    <row r="138" hidden="1" ht="94.5" customHeight="1" s="26">
      <c r="A138" s="72" t="inlineStr">
        <is>
          <t>pmu_model.pmu_inst</t>
        </is>
      </c>
      <c r="B138" s="133" t="n"/>
      <c r="C138" s="83" t="inlineStr">
        <is>
          <t>TOP:pmu_inst_V12AON_OK_HV</t>
        </is>
      </c>
      <c r="D138" s="83" t="inlineStr">
        <is>
          <t>V12AON_OK_HV</t>
        </is>
      </c>
      <c r="E138" s="83">
        <f>IF(AND(ISNUMBER(FIND("[",D138)),ISNUMBER(FIND("]",D138)),ISNUMBER(FIND(":",D138))),MID(D138,FIND("[",D138)+1,FIND(":",D138)-FIND("[",D138)-1)+1-MID(D138,FIND(":",D138)+1,FIND("]",D138)-FIND(":",D138)-1),IF(OR(ISNUMBER(FIND("[",D138)),ISNUMBER(FIND("]",D138)),ISNUMBER(FIND(":",D138))),"ERROR",1))</f>
        <v/>
      </c>
      <c r="F138" s="98" t="inlineStr">
        <is>
          <t>A</t>
        </is>
      </c>
      <c r="G138" s="93" t="n"/>
      <c r="H138" s="93" t="n"/>
      <c r="I138" s="99" t="n"/>
      <c r="M138" s="72" t="n"/>
      <c r="P138" s="113" t="n">
        <v>2</v>
      </c>
      <c r="Q138" s="102" t="inlineStr">
        <is>
          <t>Thereset signal of V12_AON low level indicates
reset state
V12AON_OK_HV=”0”-] Reset state, the
V12_AON is not OK;
V12AON_OK_HV =”1”-] Normal state, the
V12_AON is OK.</t>
        </is>
      </c>
      <c r="R138" s="83" t="n"/>
      <c r="S138" s="83" t="n"/>
      <c r="T138" s="93" t="n"/>
    </row>
    <row r="139" hidden="1" ht="94.5" customHeight="1" s="26">
      <c r="A139" s="72" t="inlineStr">
        <is>
          <t>pmu_model.pmu_inst</t>
        </is>
      </c>
      <c r="B139" s="133" t="n"/>
      <c r="C139" s="83" t="inlineStr">
        <is>
          <t>core_pd.core_pd_inst</t>
        </is>
      </c>
      <c r="D139" s="83" t="inlineStr">
        <is>
          <t>V12AON_OK_LV</t>
        </is>
      </c>
      <c r="E139" s="83">
        <f>IF(AND(ISNUMBER(FIND("[",D139)),ISNUMBER(FIND("]",D139)),ISNUMBER(FIND(":",D139))),MID(D139,FIND("[",D139)+1,FIND(":",D139)-FIND("[",D139)-1)+1-MID(D139,FIND(":",D139)+1,FIND("]",D139)-FIND(":",D139)-1),IF(OR(ISNUMBER(FIND("[",D139)),ISNUMBER(FIND("]",D139)),ISNUMBER(FIND(":",D139))),"ERROR",1))</f>
        <v/>
      </c>
      <c r="F139" s="98" t="inlineStr">
        <is>
          <t>O</t>
        </is>
      </c>
      <c r="G139" s="93" t="n"/>
      <c r="H139" s="93" t="n"/>
      <c r="I139" s="91" t="inlineStr">
        <is>
          <t>YES</t>
        </is>
      </c>
      <c r="J139" s="88" t="n"/>
      <c r="K139" s="88" t="n"/>
      <c r="L139" s="88" t="n"/>
      <c r="M139" s="89">
        <f>H139</f>
        <v/>
      </c>
      <c r="N139" s="88" t="n"/>
      <c r="O139" s="88">
        <f>IF(AND(OR(EXACT(F139,"I"),EXACT(F139,"O")),NOT(EXACT(P139,"NA"))),CONCATENATE("c_reg_test_sel_",RIGHT(IF(B139=0,LOOKUP(2,1/($B$2:B139&lt;&gt;0),$B$2:B139),B139),LEN(IF(B139=0,LOOKUP(2,1/($B$2:B139&lt;&gt;0),$B$2:B139),B139))-FIND(".",IF(B139=0,LOOKUP(2,1/($B$2:B139&lt;&gt;0),$B$2:B139),B139))),IF(0,CONCATENATE("&amp; !c_test_reg_pin_disable_",RIGHT(IF(B139=0,LOOKUP(2,1/($B$2:B139&lt;&gt;0),$B$2:B139),B139),LEN(IF(B139=0,LOOKUP(2,1/($B$2:B139&lt;&gt;0),$B$2:B139),B139))-FIND(".",IF(B139=0,LOOKUP(2,1/($B$2:B139&lt;&gt;0),$B$2:B139),B139)))),""),IF(P139,CONCATENATE("_grp_",P139),""),"/","c_pad_",RIGHT(IF(B139=0,LOOKUP(2,1/($B$2:B139&lt;&gt;0),$B$2:B139),B139),LEN(IF(B139=0,LOOKUP(2,1/($B$2:B139&lt;&gt;0),$B$2:B139),B139))-FIND(".",IF(B139=0,LOOKUP(2,1/($B$2:B139&lt;&gt;0),$B$2:B139),B139))),"_",IF(ISNUMBER(SEARCH("[",D139)),LEFT(D139,FIND("[",D139)-1),D139)),"")</f>
        <v/>
      </c>
      <c r="P139" s="28" t="n">
        <v>2</v>
      </c>
      <c r="Q139" s="83" t="inlineStr">
        <is>
          <t>Thereset signal of V12_AON low level indicates
reset state
V12AON_OK_LV=”0”-] Reset state, theV12_AON
is not OK;
V12AON_OK_LV =”1”-] Normal state, the
V12_AON is OK.</t>
        </is>
      </c>
      <c r="R139" s="91" t="inlineStr">
        <is>
          <t>0x0034</t>
        </is>
      </c>
      <c r="S139" s="83" t="n"/>
      <c r="T139" s="93" t="n"/>
    </row>
    <row r="140" ht="110.25" customHeight="1" s="26">
      <c r="A140" s="72" t="inlineStr">
        <is>
          <t>pmu_model.pmu_inst</t>
        </is>
      </c>
      <c r="B140" s="133" t="n"/>
      <c r="C140" s="83" t="inlineStr">
        <is>
          <t>core_pd.core_pd_inst</t>
        </is>
      </c>
      <c r="D140" s="83" t="inlineStr">
        <is>
          <t>mldo_en_lv</t>
        </is>
      </c>
      <c r="E140" s="83">
        <f>IF(AND(ISNUMBER(FIND("[",D140)),ISNUMBER(FIND("]",D140)),ISNUMBER(FIND(":",D140))),MID(D140,FIND("[",D140)+1,FIND(":",D140)-FIND("[",D140)-1)+1-MID(D140,FIND(":",D140)+1,FIND("]",D140)-FIND(":",D140)-1),IF(OR(ISNUMBER(FIND("[",D140)),ISNUMBER(FIND("]",D140)),ISNUMBER(FIND(":",D140))),"ERROR",1))</f>
        <v/>
      </c>
      <c r="F140" s="98" t="inlineStr">
        <is>
          <t>I</t>
        </is>
      </c>
      <c r="G140" s="93" t="n"/>
      <c r="H140" s="93" t="inlineStr">
        <is>
          <t>b1</t>
        </is>
      </c>
      <c r="I140" s="93" t="inlineStr">
        <is>
          <t>YES</t>
        </is>
      </c>
      <c r="J140" s="88" t="n"/>
      <c r="K140" s="88" t="n"/>
      <c r="L140" s="88" t="n"/>
      <c r="M140" s="89">
        <f>H140</f>
        <v/>
      </c>
      <c r="N140" s="88" t="n"/>
      <c r="O140" s="88">
        <f>IF(AND(OR(EXACT(F140,"I"),EXACT(F140,"O")),NOT(EXACT(P140,"NA"))),CONCATENATE("c_reg_test_sel_",RIGHT(IF(B140=0,LOOKUP(2,1/($B$2:B140&lt;&gt;0),$B$2:B140),B140),LEN(IF(B140=0,LOOKUP(2,1/($B$2:B140&lt;&gt;0),$B$2:B140),B140))-FIND(".",IF(B140=0,LOOKUP(2,1/($B$2:B140&lt;&gt;0),$B$2:B140),B140))),IF(0,CONCATENATE("&amp; !c_test_reg_pin_disable_",RIGHT(IF(B140=0,LOOKUP(2,1/($B$2:B140&lt;&gt;0),$B$2:B140),B140),LEN(IF(B140=0,LOOKUP(2,1/($B$2:B140&lt;&gt;0),$B$2:B140),B140))-FIND(".",IF(B140=0,LOOKUP(2,1/($B$2:B140&lt;&gt;0),$B$2:B140),B140)))),""),IF(P140,CONCATENATE("_grp_",P140),""),"/","c_pad_",RIGHT(IF(B140=0,LOOKUP(2,1/($B$2:B140&lt;&gt;0),$B$2:B140),B140),LEN(IF(B140=0,LOOKUP(2,1/($B$2:B140&lt;&gt;0),$B$2:B140),B140))-FIND(".",IF(B140=0,LOOKUP(2,1/($B$2:B140&lt;&gt;0),$B$2:B140),B140))),"_",IF(ISNUMBER(SEARCH("[",D140)),LEFT(D140,FIND("[",D140)-1),D140)),"")</f>
        <v/>
      </c>
      <c r="P140" s="28" t="n">
        <v>2</v>
      </c>
      <c r="Q140" s="83" t="inlineStr">
        <is>
          <t>Theenable signal of MLDO, high active mldo_en_lv
=”0”-]disable MLDO， and V12M=0(约 100k 下
拉电阻);
mldo_en_lv =”1”-]enable MLDO and
V12M=1.5V；
MLDO 要正常工作，需要 HQBGP &amp;VREF先启
动。</t>
        </is>
      </c>
      <c r="R140" s="83" t="inlineStr">
        <is>
          <t xml:space="preserve"> 0x0030</t>
        </is>
      </c>
      <c r="S140" s="83" t="inlineStr">
        <is>
          <t>[1]</t>
        </is>
      </c>
      <c r="T140" s="93" t="n"/>
    </row>
    <row r="141" hidden="1" ht="47.25" customHeight="1" s="26">
      <c r="A141" s="72" t="inlineStr">
        <is>
          <t>pmu_model.pmu_inst</t>
        </is>
      </c>
      <c r="B141" s="133" t="n"/>
      <c r="C141" s="83" t="inlineStr">
        <is>
          <t>TOP:pmu_inst_V12M</t>
        </is>
      </c>
      <c r="D141" s="83" t="inlineStr">
        <is>
          <t>V12M</t>
        </is>
      </c>
      <c r="E141" s="83">
        <f>IF(AND(ISNUMBER(FIND("[",D141)),ISNUMBER(FIND("]",D141)),ISNUMBER(FIND(":",D141))),MID(D141,FIND("[",D141)+1,FIND(":",D141)-FIND("[",D141)-1)+1-MID(D141,FIND(":",D141)+1,FIND("]",D141)-FIND(":",D141)-1),IF(OR(ISNUMBER(FIND("[",D141)),ISNUMBER(FIND("]",D141)),ISNUMBER(FIND(":",D141))),"ERROR",1))</f>
        <v/>
      </c>
      <c r="F141" s="98" t="inlineStr">
        <is>
          <t>A</t>
        </is>
      </c>
      <c r="G141" s="93" t="inlineStr">
        <is>
          <t>1.5V</t>
        </is>
      </c>
      <c r="H141" s="93" t="n"/>
      <c r="I141" s="99" t="n"/>
      <c r="M141" s="72" t="n"/>
      <c r="P141" s="113" t="n">
        <v>3</v>
      </c>
      <c r="Q141" s="102" t="inlineStr">
        <is>
          <t>Theoutput of MLDO.
the driving ability is 100mA@VCC_PMU&amp;
VCCP_PMU ≥ 2.6V；</t>
        </is>
      </c>
      <c r="R141" s="83" t="n"/>
      <c r="S141" s="83" t="n"/>
      <c r="T141" s="93" t="n"/>
    </row>
    <row r="142" hidden="1" s="26">
      <c r="A142" s="72" t="inlineStr">
        <is>
          <t>pmu_model.pmu_inst</t>
        </is>
      </c>
      <c r="B142" s="133" t="n"/>
      <c r="C142" s="83" t="inlineStr">
        <is>
          <t>TOP:pmu_inst_V12M_clk</t>
        </is>
      </c>
      <c r="D142" s="83" t="inlineStr">
        <is>
          <t>V12M_clk</t>
        </is>
      </c>
      <c r="E142" s="83">
        <f>IF(AND(ISNUMBER(FIND("[",D142)),ISNUMBER(FIND("]",D142)),ISNUMBER(FIND(":",D142))),MID(D142,FIND("[",D142)+1,FIND(":",D142)-FIND("[",D142)-1)+1-MID(D142,FIND(":",D142)+1,FIND("]",D142)-FIND(":",D142)-1),IF(OR(ISNUMBER(FIND("[",D142)),ISNUMBER(FIND("]",D142)),ISNUMBER(FIND(":",D142))),"ERROR",1))</f>
        <v/>
      </c>
      <c r="F142" s="98" t="inlineStr">
        <is>
          <t>A</t>
        </is>
      </c>
      <c r="G142" s="93" t="n"/>
      <c r="H142" s="93" t="n"/>
      <c r="I142" s="93" t="n"/>
      <c r="M142" s="72" t="n"/>
      <c r="P142" s="113" t="n">
        <v>3</v>
      </c>
      <c r="Q142" s="83" t="inlineStr">
        <is>
          <t>the output of MLDO for 32M/PLL</t>
        </is>
      </c>
      <c r="R142" s="83" t="n"/>
      <c r="S142" s="83" t="n"/>
      <c r="T142" s="93" t="n"/>
    </row>
    <row r="143" hidden="1" s="26">
      <c r="A143" s="72" t="inlineStr">
        <is>
          <t>pmu_model.pmu_inst</t>
        </is>
      </c>
      <c r="B143" s="133" t="n"/>
      <c r="C143" s="83" t="inlineStr">
        <is>
          <t>TOP:pmu_inst_V12M_flash</t>
        </is>
      </c>
      <c r="D143" s="83" t="inlineStr">
        <is>
          <t>V12M_flash</t>
        </is>
      </c>
      <c r="E143" s="83">
        <f>IF(AND(ISNUMBER(FIND("[",D143)),ISNUMBER(FIND("]",D143)),ISNUMBER(FIND(":",D143))),MID(D143,FIND("[",D143)+1,FIND(":",D143)-FIND("[",D143)-1)+1-MID(D143,FIND(":",D143)+1,FIND("]",D143)-FIND(":",D143)-1),IF(OR(ISNUMBER(FIND("[",D143)),ISNUMBER(FIND("]",D143)),ISNUMBER(FIND(":",D143))),"ERROR",1))</f>
        <v/>
      </c>
      <c r="F143" s="98" t="inlineStr">
        <is>
          <t>A</t>
        </is>
      </c>
      <c r="G143" s="93" t="n"/>
      <c r="H143" s="93" t="n"/>
      <c r="I143" s="93" t="n"/>
      <c r="M143" s="72" t="n"/>
      <c r="P143" s="113" t="n">
        <v>3</v>
      </c>
      <c r="Q143" s="83" t="inlineStr">
        <is>
          <t>the output of MLDO for eflash</t>
        </is>
      </c>
      <c r="R143" s="83" t="n"/>
      <c r="S143" s="83" t="n"/>
      <c r="T143" s="93" t="n"/>
    </row>
    <row r="144" hidden="1" s="26">
      <c r="A144" s="72" t="inlineStr">
        <is>
          <t>pmu_model.pmu_inst</t>
        </is>
      </c>
      <c r="B144" s="133" t="n"/>
      <c r="C144" s="83" t="inlineStr">
        <is>
          <t>TOP:pmu_inst_V12M_adc</t>
        </is>
      </c>
      <c r="D144" s="83" t="inlineStr">
        <is>
          <t>V12M_adc</t>
        </is>
      </c>
      <c r="E144" s="83">
        <f>IF(AND(ISNUMBER(FIND("[",D144)),ISNUMBER(FIND("]",D144)),ISNUMBER(FIND(":",D144))),MID(D144,FIND("[",D144)+1,FIND(":",D144)-FIND("[",D144)-1)+1-MID(D144,FIND(":",D144)+1,FIND("]",D144)-FIND(":",D144)-1),IF(OR(ISNUMBER(FIND("[",D144)),ISNUMBER(FIND("]",D144)),ISNUMBER(FIND(":",D144))),"ERROR",1))</f>
        <v/>
      </c>
      <c r="F144" s="98" t="inlineStr">
        <is>
          <t>A</t>
        </is>
      </c>
      <c r="G144" s="93" t="n"/>
      <c r="H144" s="93" t="n"/>
      <c r="I144" s="93" t="n"/>
      <c r="M144" s="72" t="n"/>
      <c r="P144" s="113" t="n">
        <v>3</v>
      </c>
      <c r="Q144" s="83" t="inlineStr">
        <is>
          <t>the output of MLDO for adc</t>
        </is>
      </c>
      <c r="R144" s="83" t="n"/>
      <c r="S144" s="83" t="n"/>
      <c r="T144" s="93" t="n"/>
    </row>
    <row r="145" ht="63" customHeight="1" s="26">
      <c r="A145" s="72" t="inlineStr">
        <is>
          <t>pmu_model.pmu_inst</t>
        </is>
      </c>
      <c r="B145" s="133" t="n"/>
      <c r="C145" s="83" t="inlineStr">
        <is>
          <t>core_pd.core_pd_inst</t>
        </is>
      </c>
      <c r="D145" s="83" t="inlineStr">
        <is>
          <t>reg_ocp_en_lv</t>
        </is>
      </c>
      <c r="E145" s="83">
        <f>IF(AND(ISNUMBER(FIND("[",D145)),ISNUMBER(FIND("]",D145)),ISNUMBER(FIND(":",D145))),MID(D145,FIND("[",D145)+1,FIND(":",D145)-FIND("[",D145)-1)+1-MID(D145,FIND(":",D145)+1,FIND("]",D145)-FIND(":",D145)-1),IF(OR(ISNUMBER(FIND("[",D145)),ISNUMBER(FIND("]",D145)),ISNUMBER(FIND(":",D145))),"ERROR",1))</f>
        <v/>
      </c>
      <c r="F145" s="98" t="inlineStr">
        <is>
          <t>I</t>
        </is>
      </c>
      <c r="G145" s="93" t="n"/>
      <c r="H145" s="93" t="inlineStr">
        <is>
          <t>b0</t>
        </is>
      </c>
      <c r="I145" s="93" t="inlineStr">
        <is>
          <t>YES</t>
        </is>
      </c>
      <c r="J145" s="88" t="n"/>
      <c r="K145" s="88" t="n"/>
      <c r="L145" s="88" t="n"/>
      <c r="M145" s="89">
        <f>H145</f>
        <v/>
      </c>
      <c r="N145" s="88" t="n"/>
      <c r="O145" s="88">
        <f>IF(AND(OR(EXACT(F145,"I"),EXACT(F145,"O")),NOT(EXACT(P145,"NA"))),CONCATENATE("c_reg_test_sel_",RIGHT(IF(B145=0,LOOKUP(2,1/($B$2:B145&lt;&gt;0),$B$2:B145),B145),LEN(IF(B145=0,LOOKUP(2,1/($B$2:B145&lt;&gt;0),$B$2:B145),B145))-FIND(".",IF(B145=0,LOOKUP(2,1/($B$2:B145&lt;&gt;0),$B$2:B145),B145))),IF(0,CONCATENATE("&amp; !c_test_reg_pin_disable_",RIGHT(IF(B145=0,LOOKUP(2,1/($B$2:B145&lt;&gt;0),$B$2:B145),B145),LEN(IF(B145=0,LOOKUP(2,1/($B$2:B145&lt;&gt;0),$B$2:B145),B145))-FIND(".",IF(B145=0,LOOKUP(2,1/($B$2:B145&lt;&gt;0),$B$2:B145),B145)))),""),IF(P145,CONCATENATE("_grp_",P145),""),"/","c_pad_",RIGHT(IF(B145=0,LOOKUP(2,1/($B$2:B145&lt;&gt;0),$B$2:B145),B145),LEN(IF(B145=0,LOOKUP(2,1/($B$2:B145&lt;&gt;0),$B$2:B145),B145))-FIND(".",IF(B145=0,LOOKUP(2,1/($B$2:B145&lt;&gt;0),$B$2:B145),B145))),"_",IF(ISNUMBER(SEARCH("[",D145)),LEFT(D145,FIND("[",D145)-1),D145)),"")</f>
        <v/>
      </c>
      <c r="P145" s="28" t="n">
        <v>2</v>
      </c>
      <c r="Q145" s="83" t="inlineStr">
        <is>
          <t>reg_ocp_en_lv=1, mldo_ocp_en=1,
mldo_scp_en=1;
reg_ocp_en_lv=0, mldo_ocp_en=0,
mldo_scp_en=0;</t>
        </is>
      </c>
      <c r="R145" s="83" t="inlineStr">
        <is>
          <t xml:space="preserve"> 0x0030</t>
        </is>
      </c>
      <c r="S145" s="83" t="inlineStr">
        <is>
          <t>[3]</t>
        </is>
      </c>
      <c r="T145" s="93" t="n"/>
    </row>
    <row r="146" ht="173.25" customHeight="1" s="26">
      <c r="A146" s="72" t="inlineStr">
        <is>
          <t>pmu_model.pmu_inst</t>
        </is>
      </c>
      <c r="B146" s="133" t="n"/>
      <c r="C146" s="83" t="inlineStr">
        <is>
          <t>core_pd.core_pd_inst</t>
        </is>
      </c>
      <c r="D146" s="83" t="inlineStr">
        <is>
          <t>reg_mldo_lv[4:0]</t>
        </is>
      </c>
      <c r="E146" s="83">
        <f>IF(AND(ISNUMBER(FIND("[",D146)),ISNUMBER(FIND("]",D146)),ISNUMBER(FIND(":",D146))),MID(D146,FIND("[",D146)+1,FIND(":",D146)-FIND("[",D146)-1)+1-MID(D146,FIND(":",D146)+1,FIND("]",D146)-FIND(":",D146)-1),IF(OR(ISNUMBER(FIND("[",D146)),ISNUMBER(FIND("]",D146)),ISNUMBER(FIND(":",D146))),"ERROR",1))</f>
        <v/>
      </c>
      <c r="F146" s="98" t="inlineStr">
        <is>
          <t>I</t>
        </is>
      </c>
      <c r="G146" s="93" t="n"/>
      <c r="H146" s="93" t="inlineStr">
        <is>
          <t>b00000</t>
        </is>
      </c>
      <c r="I146" s="93" t="inlineStr">
        <is>
          <t>YES</t>
        </is>
      </c>
      <c r="J146" s="88" t="n"/>
      <c r="K146" s="88" t="n"/>
      <c r="L146" s="88" t="n"/>
      <c r="M146" s="89">
        <f>H146</f>
        <v/>
      </c>
      <c r="N146" s="88" t="n"/>
      <c r="O146" s="88">
        <f>IF(AND(OR(EXACT(F146,"I"),EXACT(F146,"O")),NOT(EXACT(P146,"NA"))),CONCATENATE("c_reg_test_sel_",RIGHT(IF(B146=0,LOOKUP(2,1/($B$2:B146&lt;&gt;0),$B$2:B146),B146),LEN(IF(B146=0,LOOKUP(2,1/($B$2:B146&lt;&gt;0),$B$2:B146),B146))-FIND(".",IF(B146=0,LOOKUP(2,1/($B$2:B146&lt;&gt;0),$B$2:B146),B146))),IF(0,CONCATENATE("&amp; !c_test_reg_pin_disable_",RIGHT(IF(B146=0,LOOKUP(2,1/($B$2:B146&lt;&gt;0),$B$2:B146),B146),LEN(IF(B146=0,LOOKUP(2,1/($B$2:B146&lt;&gt;0),$B$2:B146),B146))-FIND(".",IF(B146=0,LOOKUP(2,1/($B$2:B146&lt;&gt;0),$B$2:B146),B146)))),""),IF(P146,CONCATENATE("_grp_",P146),""),"/","c_pad_",RIGHT(IF(B146=0,LOOKUP(2,1/($B$2:B146&lt;&gt;0),$B$2:B146),B146),LEN(IF(B146=0,LOOKUP(2,1/($B$2:B146&lt;&gt;0),$B$2:B146),B146))-FIND(".",IF(B146=0,LOOKUP(2,1/($B$2:B146&lt;&gt;0),$B$2:B146),B146))),"_",IF(ISNUMBER(SEARCH("[",D146)),LEFT(D146,FIND("[",D146)-1),D146)),"")</f>
        <v/>
      </c>
      <c r="P146" s="28" t="n">
        <v>2</v>
      </c>
      <c r="Q146" s="83" t="inlineStr">
        <is>
          <t>reg_mldo_lv[4:0] Theregisters to configurethe
output voltage of the MLDO;
reg_mldo_lv[4:0](最高位反向)
reg_mldo_lv[4:0]=5b’1111 V12M =1.186V
…… （13.8mV/step）
reg_mldo_lv[4:0]=5b’10000 V12M = 1.013V
(min)
reg_mldo_lv[4:0]=5b’01111 V12M = 1.456V(max)
…… （13.8mV/step）
reg_mldo_lv[4:0]=5b’00000 V12M =1.205V
(default)</t>
        </is>
      </c>
      <c r="R146" s="83" t="inlineStr">
        <is>
          <t xml:space="preserve"> 0x0033</t>
        </is>
      </c>
      <c r="S146" s="83" t="inlineStr">
        <is>
          <t>[4:0]</t>
        </is>
      </c>
      <c r="T146" s="93" t="n"/>
    </row>
    <row r="147" hidden="1" ht="126" customHeight="1" s="26">
      <c r="A147" s="72" t="inlineStr">
        <is>
          <t>pmu_model.pmu_inst</t>
        </is>
      </c>
      <c r="B147" s="133" t="n"/>
      <c r="C147" s="83" t="inlineStr">
        <is>
          <t>core_pd.core_pd_inst</t>
        </is>
      </c>
      <c r="D147" s="83" t="inlineStr">
        <is>
          <t>V12M_OK_LV</t>
        </is>
      </c>
      <c r="E147" s="83">
        <f>IF(AND(ISNUMBER(FIND("[",D147)),ISNUMBER(FIND("]",D147)),ISNUMBER(FIND(":",D147))),MID(D147,FIND("[",D147)+1,FIND(":",D147)-FIND("[",D147)-1)+1-MID(D147,FIND(":",D147)+1,FIND("]",D147)-FIND(":",D147)-1),IF(OR(ISNUMBER(FIND("[",D147)),ISNUMBER(FIND("]",D147)),ISNUMBER(FIND(":",D147))),"ERROR",1))</f>
        <v/>
      </c>
      <c r="F147" s="98" t="inlineStr">
        <is>
          <t>O</t>
        </is>
      </c>
      <c r="G147" s="93" t="n"/>
      <c r="H147" s="93" t="n"/>
      <c r="I147" s="93" t="inlineStr">
        <is>
          <t>YES</t>
        </is>
      </c>
      <c r="J147" s="88" t="n"/>
      <c r="K147" s="88" t="n"/>
      <c r="L147" s="88" t="n"/>
      <c r="M147" s="89">
        <f>H147</f>
        <v/>
      </c>
      <c r="N147" s="88" t="n"/>
      <c r="O147" s="88">
        <f>IF(AND(OR(EXACT(F147,"I"),EXACT(F147,"O")),NOT(EXACT(P147,"NA"))),CONCATENATE("c_reg_test_sel_",RIGHT(IF(B147=0,LOOKUP(2,1/($B$2:B147&lt;&gt;0),$B$2:B147),B147),LEN(IF(B147=0,LOOKUP(2,1/($B$2:B147&lt;&gt;0),$B$2:B147),B147))-FIND(".",IF(B147=0,LOOKUP(2,1/($B$2:B147&lt;&gt;0),$B$2:B147),B147))),IF(0,CONCATENATE("&amp; !c_test_reg_pin_disable_",RIGHT(IF(B147=0,LOOKUP(2,1/($B$2:B147&lt;&gt;0),$B$2:B147),B147),LEN(IF(B147=0,LOOKUP(2,1/($B$2:B147&lt;&gt;0),$B$2:B147),B147))-FIND(".",IF(B147=0,LOOKUP(2,1/($B$2:B147&lt;&gt;0),$B$2:B147),B147)))),""),IF(P147,CONCATENATE("_grp_",P147),""),"/","c_pad_",RIGHT(IF(B147=0,LOOKUP(2,1/($B$2:B147&lt;&gt;0),$B$2:B147),B147),LEN(IF(B147=0,LOOKUP(2,1/($B$2:B147&lt;&gt;0),$B$2:B147),B147))-FIND(".",IF(B147=0,LOOKUP(2,1/($B$2:B147&lt;&gt;0),$B$2:B147),B147))),"_",IF(ISNUMBER(SEARCH("[",D147)),LEFT(D147,FIND("[",D147)-1),D147)),"")</f>
        <v/>
      </c>
      <c r="P147" s="28" t="n">
        <v>2</v>
      </c>
      <c r="Q147" s="83" t="inlineStr">
        <is>
          <t>MLDO OK indication signal (1.5V), high active.e
V12M_OK_LV=”0”-] The output voltage of MLDO
is not OK
V12M_OK_LV =”1”-] Theoutput voltage of
MLDO is OK
When ext_ldo_en_lv=”1”-]V12M_OK_LV =”1”
When mldo_en_lv=”0”&amp;ext_ldo_en_lv=”0” -
-] V12M_OK_LV =”0”</t>
        </is>
      </c>
      <c r="R147" s="112" t="inlineStr">
        <is>
          <t>0x0034</t>
        </is>
      </c>
      <c r="S147" s="83" t="n"/>
      <c r="T147" s="93" t="n"/>
    </row>
    <row r="148" hidden="1" ht="94.5" customHeight="1" s="26">
      <c r="A148" s="72" t="inlineStr">
        <is>
          <t>pmu_model.pmu_inst</t>
        </is>
      </c>
      <c r="B148" s="133" t="n"/>
      <c r="C148" s="83" t="inlineStr">
        <is>
          <t>TOP:pmu_inst_VREF1P2</t>
        </is>
      </c>
      <c r="D148" s="83" t="inlineStr">
        <is>
          <t>VREF1P2</t>
        </is>
      </c>
      <c r="E148" s="83">
        <f>IF(AND(ISNUMBER(FIND("[",D148)),ISNUMBER(FIND("]",D148)),ISNUMBER(FIND(":",D148))),MID(D148,FIND("[",D148)+1,FIND(":",D148)-FIND("[",D148)-1)+1-MID(D148,FIND(":",D148)+1,FIND("]",D148)-FIND(":",D148)-1),IF(OR(ISNUMBER(FIND("[",D148)),ISNUMBER(FIND("]",D148)),ISNUMBER(FIND(":",D148))),"ERROR",1))</f>
        <v/>
      </c>
      <c r="F148" s="98" t="inlineStr">
        <is>
          <t>A</t>
        </is>
      </c>
      <c r="G148" s="93" t="n"/>
      <c r="H148" s="93" t="n"/>
      <c r="I148" s="99" t="n"/>
      <c r="M148" s="72" t="n"/>
      <c r="P148" s="113" t="inlineStr">
        <is>
          <t>NA</t>
        </is>
      </c>
      <c r="Q148" s="102" t="inlineStr">
        <is>
          <t>BUFFER VREF1P2 voltage output
When hqbgp_en_lv &amp; reg_buffer_en_lv =”1”
VREF1P2= vbg1p2hq =1.2;
When hqbgp_en_lv=0 | reg_buffer_en_lv =”0”
， VREF1P2=0V
VREF1P2ADC</t>
        </is>
      </c>
      <c r="R148" s="83" t="n"/>
      <c r="S148" s="83" t="n"/>
      <c r="T148" s="93" t="n"/>
    </row>
    <row r="149" ht="94.5" customHeight="1" s="26">
      <c r="A149" s="72" t="inlineStr">
        <is>
          <t>pmu_model.pmu_inst</t>
        </is>
      </c>
      <c r="B149" s="133" t="n"/>
      <c r="C149" s="83" t="inlineStr">
        <is>
          <t>core_pd.core_pd_inst</t>
        </is>
      </c>
      <c r="D149" s="83" t="inlineStr">
        <is>
          <t>reg_buffer_en_lv</t>
        </is>
      </c>
      <c r="E149" s="83">
        <f>IF(AND(ISNUMBER(FIND("[",D149)),ISNUMBER(FIND("]",D149)),ISNUMBER(FIND(":",D149))),MID(D149,FIND("[",D149)+1,FIND(":",D149)-FIND("[",D149)-1)+1-MID(D149,FIND(":",D149)+1,FIND("]",D149)-FIND(":",D149)-1),IF(OR(ISNUMBER(FIND("[",D149)),ISNUMBER(FIND("]",D149)),ISNUMBER(FIND(":",D149))),"ERROR",1))</f>
        <v/>
      </c>
      <c r="F149" s="98" t="inlineStr">
        <is>
          <t>I</t>
        </is>
      </c>
      <c r="G149" s="93" t="n"/>
      <c r="H149" s="93" t="inlineStr">
        <is>
          <t>b1</t>
        </is>
      </c>
      <c r="I149" s="93" t="inlineStr">
        <is>
          <t>YES</t>
        </is>
      </c>
      <c r="J149" s="88" t="n"/>
      <c r="K149" s="88" t="n"/>
      <c r="L149" s="88" t="n"/>
      <c r="M149" s="89">
        <f>H149</f>
        <v/>
      </c>
      <c r="N149" s="88" t="n"/>
      <c r="O149" s="88">
        <f>IF(AND(OR(EXACT(F149,"I"),EXACT(F149,"O")),NOT(EXACT(P149,"NA"))),CONCATENATE("c_reg_test_sel_",RIGHT(IF(B149=0,LOOKUP(2,1/($B$2:B149&lt;&gt;0),$B$2:B149),B149),LEN(IF(B149=0,LOOKUP(2,1/($B$2:B149&lt;&gt;0),$B$2:B149),B149))-FIND(".",IF(B149=0,LOOKUP(2,1/($B$2:B149&lt;&gt;0),$B$2:B149),B149))),IF(0,CONCATENATE("&amp; !c_test_reg_pin_disable_",RIGHT(IF(B149=0,LOOKUP(2,1/($B$2:B149&lt;&gt;0),$B$2:B149),B149),LEN(IF(B149=0,LOOKUP(2,1/($B$2:B149&lt;&gt;0),$B$2:B149),B149))-FIND(".",IF(B149=0,LOOKUP(2,1/($B$2:B149&lt;&gt;0),$B$2:B149),B149)))),""),IF(P149,CONCATENATE("_grp_",P149),""),"/","c_pad_",RIGHT(IF(B149=0,LOOKUP(2,1/($B$2:B149&lt;&gt;0),$B$2:B149),B149),LEN(IF(B149=0,LOOKUP(2,1/($B$2:B149&lt;&gt;0),$B$2:B149),B149))-FIND(".",IF(B149=0,LOOKUP(2,1/($B$2:B149&lt;&gt;0),$B$2:B149),B149))),"_",IF(ISNUMBER(SEARCH("[",D149)),LEFT(D149,FIND("[",D149)-1),D149)),"")</f>
        <v/>
      </c>
      <c r="P149" s="90" t="n">
        <v>3</v>
      </c>
      <c r="Q149" s="83" t="inlineStr">
        <is>
          <t>Theenable signal of BUFFER
reg_buffer_en_lv =”0”-]disable BUFFER
reg_buffer_en_lv =”1”-]enable BUFFER； 注意：
MLDO 为外供电状态下，ext_ldo_en_lv 信 号
为”1”，此时仍然可以通过将 reg_buffer_en_lv
置为”1”来使 得 VREF1P0 正常输出；</t>
        </is>
      </c>
      <c r="R149" s="83" t="inlineStr">
        <is>
          <t xml:space="preserve"> 0x0030</t>
        </is>
      </c>
      <c r="S149" s="83" t="inlineStr">
        <is>
          <t>[6]</t>
        </is>
      </c>
      <c r="T149" s="93" t="n"/>
    </row>
    <row r="150" hidden="1" ht="31.5" customHeight="1" s="26">
      <c r="A150" s="72" t="inlineStr">
        <is>
          <t>pmu_model.pmu_inst</t>
        </is>
      </c>
      <c r="B150" s="133" t="n"/>
      <c r="C150" s="109" t="inlineStr">
        <is>
          <t>TOP:pmu_inst_VREF0P8_MON</t>
        </is>
      </c>
      <c r="D150" s="109" t="inlineStr">
        <is>
          <t>VREF0P8_MON</t>
        </is>
      </c>
      <c r="E150" s="109">
        <f>IF(AND(ISNUMBER(FIND("[",D150)),ISNUMBER(FIND("]",D150)),ISNUMBER(FIND(":",D150))),MID(D150,FIND("[",D150)+1,FIND(":",D150)-FIND("[",D150)-1)+1-MID(D150,FIND(":",D150)+1,FIND("]",D150)-FIND(":",D150)-1),IF(OR(ISNUMBER(FIND("[",D150)),ISNUMBER(FIND("]",D150)),ISNUMBER(FIND(":",D150))),"ERROR",1))</f>
        <v/>
      </c>
      <c r="F150" s="110" t="inlineStr">
        <is>
          <t>A</t>
        </is>
      </c>
      <c r="G150" s="93" t="n"/>
      <c r="H150" s="93" t="n"/>
      <c r="I150" s="99" t="n"/>
      <c r="M150" s="72" t="n"/>
      <c r="P150" s="72" t="n"/>
      <c r="Q150" s="114" t="inlineStr">
        <is>
          <t xml:space="preserve">Floating
</t>
        </is>
      </c>
      <c r="R150" s="83" t="n"/>
      <c r="S150" s="83" t="n"/>
      <c r="T150" s="93" t="n"/>
    </row>
    <row r="151" hidden="1" ht="31.5" customHeight="1" s="26">
      <c r="A151" s="72" t="inlineStr">
        <is>
          <t>pmu_model.pmu_inst</t>
        </is>
      </c>
      <c r="B151" s="133" t="n"/>
      <c r="C151" s="109" t="inlineStr">
        <is>
          <t>TOP:pmu_inst_VREF0P8</t>
        </is>
      </c>
      <c r="D151" s="109" t="inlineStr">
        <is>
          <t>VREF0P8</t>
        </is>
      </c>
      <c r="E151" s="109">
        <f>IF(AND(ISNUMBER(FIND("[",D151)),ISNUMBER(FIND("]",D151)),ISNUMBER(FIND(":",D151))),MID(D151,FIND("[",D151)+1,FIND(":",D151)-FIND("[",D151)-1)+1-MID(D151,FIND(":",D151)+1,FIND("]",D151)-FIND(":",D151)-1),IF(OR(ISNUMBER(FIND("[",D151)),ISNUMBER(FIND("]",D151)),ISNUMBER(FIND(":",D151))),"ERROR",1))</f>
        <v/>
      </c>
      <c r="F151" s="110" t="inlineStr">
        <is>
          <t>A</t>
        </is>
      </c>
      <c r="G151" s="93" t="n"/>
      <c r="H151" s="93" t="n"/>
      <c r="I151" s="93" t="n"/>
      <c r="M151" s="72" t="n"/>
      <c r="P151" s="72" t="n"/>
      <c r="Q151" s="111" t="inlineStr">
        <is>
          <t xml:space="preserve">Floating
</t>
        </is>
      </c>
      <c r="R151" s="83" t="n"/>
      <c r="S151" s="83" t="n"/>
      <c r="T151" s="93" t="n"/>
    </row>
    <row r="152" hidden="1" ht="31.5" customHeight="1" s="26">
      <c r="A152" s="72" t="inlineStr">
        <is>
          <t>pmu_model.pmu_inst</t>
        </is>
      </c>
      <c r="B152" s="133" t="n"/>
      <c r="C152" s="109" t="inlineStr">
        <is>
          <t>TOP:pmu_inst_VREF0P6</t>
        </is>
      </c>
      <c r="D152" s="109" t="inlineStr">
        <is>
          <t>VREF0P6</t>
        </is>
      </c>
      <c r="E152" s="109">
        <f>IF(AND(ISNUMBER(FIND("[",D152)),ISNUMBER(FIND("]",D152)),ISNUMBER(FIND(":",D152))),MID(D152,FIND("[",D152)+1,FIND(":",D152)-FIND("[",D152)-1)+1-MID(D152,FIND(":",D152)+1,FIND("]",D152)-FIND(":",D152)-1),IF(OR(ISNUMBER(FIND("[",D152)),ISNUMBER(FIND("]",D152)),ISNUMBER(FIND(":",D152))),"ERROR",1))</f>
        <v/>
      </c>
      <c r="F152" s="110" t="inlineStr">
        <is>
          <t>A</t>
        </is>
      </c>
      <c r="G152" s="93" t="n"/>
      <c r="H152" s="93" t="n"/>
      <c r="I152" s="93" t="n"/>
      <c r="M152" s="72" t="n"/>
      <c r="P152" s="72" t="n"/>
      <c r="Q152" s="111" t="inlineStr">
        <is>
          <t xml:space="preserve">Floating
</t>
        </is>
      </c>
      <c r="R152" s="83" t="n"/>
      <c r="S152" s="83" t="n"/>
      <c r="T152" s="93" t="n"/>
    </row>
    <row r="153" hidden="1" ht="31.5" customHeight="1" s="26">
      <c r="A153" s="72" t="inlineStr">
        <is>
          <t>pmu_model.pmu_inst</t>
        </is>
      </c>
      <c r="B153" s="133" t="n"/>
      <c r="C153" s="109" t="inlineStr">
        <is>
          <t>TOP:pmu_inst_Ibias_ts</t>
        </is>
      </c>
      <c r="D153" s="109" t="inlineStr">
        <is>
          <t>Ibias_ts</t>
        </is>
      </c>
      <c r="E153" s="109">
        <f>IF(AND(ISNUMBER(FIND("[",D153)),ISNUMBER(FIND("]",D153)),ISNUMBER(FIND(":",D153))),MID(D153,FIND("[",D153)+1,FIND(":",D153)-FIND("[",D153)-1)+1-MID(D153,FIND(":",D153)+1,FIND("]",D153)-FIND(":",D153)-1),IF(OR(ISNUMBER(FIND("[",D153)),ISNUMBER(FIND("]",D153)),ISNUMBER(FIND(":",D153))),"ERROR",1))</f>
        <v/>
      </c>
      <c r="F153" s="110" t="inlineStr">
        <is>
          <t>A</t>
        </is>
      </c>
      <c r="G153" s="93" t="n"/>
      <c r="H153" s="93" t="n"/>
      <c r="I153" s="99" t="n"/>
      <c r="M153" s="72" t="n"/>
      <c r="P153" s="72" t="n"/>
      <c r="Q153" s="114" t="inlineStr">
        <is>
          <t xml:space="preserve">Floating
</t>
        </is>
      </c>
      <c r="R153" s="83" t="n"/>
      <c r="S153" s="83" t="n"/>
      <c r="T153" s="93" t="n"/>
    </row>
    <row r="154" hidden="1" ht="31.5" customHeight="1" s="26">
      <c r="A154" s="72" t="inlineStr">
        <is>
          <t>pmu_model.pmu_inst</t>
        </is>
      </c>
      <c r="B154" s="133" t="n"/>
      <c r="C154" s="109" t="inlineStr">
        <is>
          <t>TOP:pmu_inst_Ibias_buffer</t>
        </is>
      </c>
      <c r="D154" s="109" t="inlineStr">
        <is>
          <t>Ibias_buffer</t>
        </is>
      </c>
      <c r="E154" s="109">
        <f>IF(AND(ISNUMBER(FIND("[",D154)),ISNUMBER(FIND("]",D154)),ISNUMBER(FIND(":",D154))),MID(D154,FIND("[",D154)+1,FIND(":",D154)-FIND("[",D154)-1)+1-MID(D154,FIND(":",D154)+1,FIND("]",D154)-FIND(":",D154)-1),IF(OR(ISNUMBER(FIND("[",D154)),ISNUMBER(FIND("]",D154)),ISNUMBER(FIND(":",D154))),"ERROR",1))</f>
        <v/>
      </c>
      <c r="F154" s="110" t="inlineStr">
        <is>
          <t>A</t>
        </is>
      </c>
      <c r="G154" s="93" t="n"/>
      <c r="H154" s="93" t="n"/>
      <c r="I154" s="93" t="n"/>
      <c r="M154" s="72" t="n"/>
      <c r="P154" s="72" t="n"/>
      <c r="Q154" s="111" t="inlineStr">
        <is>
          <t xml:space="preserve">Floating
</t>
        </is>
      </c>
      <c r="R154" s="83" t="n"/>
      <c r="S154" s="83" t="n"/>
      <c r="T154" s="93" t="n"/>
    </row>
    <row r="155" hidden="1" ht="31.5" customHeight="1" s="26">
      <c r="A155" s="72" t="inlineStr">
        <is>
          <t>pmu_model.pmu_inst</t>
        </is>
      </c>
      <c r="B155" s="133" t="n"/>
      <c r="C155" s="109" t="inlineStr">
        <is>
          <t>TOP:pmu_inst_Ibias_0p5u</t>
        </is>
      </c>
      <c r="D155" s="109" t="inlineStr">
        <is>
          <t>Ibias_0p5u[2:0]</t>
        </is>
      </c>
      <c r="E155" s="109">
        <f>IF(AND(ISNUMBER(FIND("[",D155)),ISNUMBER(FIND("]",D155)),ISNUMBER(FIND(":",D155))),MID(D155,FIND("[",D155)+1,FIND(":",D155)-FIND("[",D155)-1)+1-MID(D155,FIND(":",D155)+1,FIND("]",D155)-FIND(":",D155)-1),IF(OR(ISNUMBER(FIND("[",D155)),ISNUMBER(FIND("]",D155)),ISNUMBER(FIND(":",D155))),"ERROR",1))</f>
        <v/>
      </c>
      <c r="F155" s="110" t="inlineStr">
        <is>
          <t>A</t>
        </is>
      </c>
      <c r="G155" s="93" t="n"/>
      <c r="H155" s="93" t="n"/>
      <c r="I155" s="93" t="n"/>
      <c r="M155" s="72" t="n"/>
      <c r="P155" s="72" t="n"/>
      <c r="Q155" s="111" t="inlineStr">
        <is>
          <t xml:space="preserve">Floating
</t>
        </is>
      </c>
      <c r="R155" s="83" t="n"/>
      <c r="S155" s="83" t="n"/>
      <c r="T155" s="93" t="n"/>
    </row>
    <row r="156" hidden="1" s="26">
      <c r="A156" s="72" t="inlineStr">
        <is>
          <t>pmu_model.pmu_inst</t>
        </is>
      </c>
      <c r="B156" s="133" t="n"/>
      <c r="C156" s="83" t="inlineStr">
        <is>
          <t>TOP:pmu_inst_Ibias_1u</t>
        </is>
      </c>
      <c r="D156" s="83" t="inlineStr">
        <is>
          <t>Ibias_1u[1:0]</t>
        </is>
      </c>
      <c r="E156" s="83">
        <f>IF(AND(ISNUMBER(FIND("[",D156)),ISNUMBER(FIND("]",D156)),ISNUMBER(FIND(":",D156))),MID(D156,FIND("[",D156)+1,FIND(":",D156)-FIND("[",D156)-1)+1-MID(D156,FIND(":",D156)+1,FIND("]",D156)-FIND(":",D156)-1),IF(OR(ISNUMBER(FIND("[",D156)),ISNUMBER(FIND("]",D156)),ISNUMBER(FIND(":",D156))),"ERROR",1))</f>
        <v/>
      </c>
      <c r="F156" s="98" t="inlineStr">
        <is>
          <t>A</t>
        </is>
      </c>
      <c r="G156" s="93" t="n"/>
      <c r="H156" s="93" t="n"/>
      <c r="I156" s="93" t="n"/>
      <c r="M156" s="72" t="n"/>
      <c r="P156" s="72" t="n"/>
      <c r="Q156" s="83" t="inlineStr">
        <is>
          <t>1uA, Ibias_1u[1]ADC</t>
        </is>
      </c>
      <c r="R156" s="83" t="n"/>
      <c r="S156" s="83" t="n"/>
      <c r="T156" s="93" t="n"/>
    </row>
    <row r="157" hidden="1" s="26">
      <c r="A157" s="72" t="inlineStr">
        <is>
          <t>pmu_model.pmu_inst</t>
        </is>
      </c>
      <c r="B157" s="133" t="n"/>
      <c r="C157" s="83" t="inlineStr">
        <is>
          <t>TOP:pmu_inst_Ibias_5u</t>
        </is>
      </c>
      <c r="D157" s="104" t="inlineStr">
        <is>
          <t>Ibias_5u[1:0]</t>
        </is>
      </c>
      <c r="E157" s="83">
        <f>IF(AND(ISNUMBER(FIND("[",D157)),ISNUMBER(FIND("]",D157)),ISNUMBER(FIND(":",D157))),MID(D157,FIND("[",D157)+1,FIND(":",D157)-FIND("[",D157)-1)+1-MID(D157,FIND(":",D157)+1,FIND("]",D157)-FIND(":",D157)-1),IF(OR(ISNUMBER(FIND("[",D157)),ISNUMBER(FIND("]",D157)),ISNUMBER(FIND(":",D157))),"ERROR",1))</f>
        <v/>
      </c>
      <c r="F157" s="98" t="inlineStr">
        <is>
          <t>A</t>
        </is>
      </c>
      <c r="G157" s="93" t="n"/>
      <c r="H157" s="93" t="n"/>
      <c r="I157" s="93" t="n"/>
      <c r="M157" s="72" t="n"/>
      <c r="P157" s="72" t="n"/>
      <c r="Q157" s="111" t="inlineStr">
        <is>
          <t>[5:2]floating</t>
        </is>
      </c>
      <c r="R157" s="83" t="n"/>
      <c r="S157" s="83" t="n"/>
      <c r="T157" s="93" t="n"/>
    </row>
    <row r="158" hidden="1" ht="31.5" customHeight="1" s="26">
      <c r="A158" s="72" t="inlineStr">
        <is>
          <t>pmu_model.pmu_inst</t>
        </is>
      </c>
      <c r="B158" s="133" t="n"/>
      <c r="C158" s="109" t="inlineStr">
        <is>
          <t>TOP:pmu_inst_Ibias_5u_N</t>
        </is>
      </c>
      <c r="D158" s="109" t="inlineStr">
        <is>
          <t>Ibias_5u_N</t>
        </is>
      </c>
      <c r="E158" s="109">
        <f>IF(AND(ISNUMBER(FIND("[",D158)),ISNUMBER(FIND("]",D158)),ISNUMBER(FIND(":",D158))),MID(D158,FIND("[",D158)+1,FIND(":",D158)-FIND("[",D158)-1)+1-MID(D158,FIND(":",D158)+1,FIND("]",D158)-FIND(":",D158)-1),IF(OR(ISNUMBER(FIND("[",D158)),ISNUMBER(FIND("]",D158)),ISNUMBER(FIND(":",D158))),"ERROR",1))</f>
        <v/>
      </c>
      <c r="F158" s="110" t="inlineStr">
        <is>
          <t>A</t>
        </is>
      </c>
      <c r="G158" s="93" t="n"/>
      <c r="H158" s="93" t="n"/>
      <c r="I158" s="93" t="n"/>
      <c r="M158" s="72" t="n"/>
      <c r="P158" s="72" t="n"/>
      <c r="Q158" s="111" t="inlineStr">
        <is>
          <t xml:space="preserve">Floating
</t>
        </is>
      </c>
      <c r="R158" s="83" t="n"/>
      <c r="S158" s="83" t="n"/>
      <c r="T158" s="93" t="n"/>
    </row>
    <row r="159" hidden="1" ht="31.5" customHeight="1" s="26">
      <c r="A159" s="72" t="inlineStr">
        <is>
          <t>pmu_model.pmu_inst</t>
        </is>
      </c>
      <c r="B159" s="133" t="n"/>
      <c r="C159" s="109" t="inlineStr">
        <is>
          <t>TOP:pmu_inst_I5uA_OSC_N</t>
        </is>
      </c>
      <c r="D159" s="109" t="inlineStr">
        <is>
          <t>I5uA_OSC_N</t>
        </is>
      </c>
      <c r="E159" s="109">
        <f>IF(AND(ISNUMBER(FIND("[",D159)),ISNUMBER(FIND("]",D159)),ISNUMBER(FIND(":",D159))),MID(D159,FIND("[",D159)+1,FIND(":",D159)-FIND("[",D159)-1)+1-MID(D159,FIND(":",D159)+1,FIND("]",D159)-FIND(":",D159)-1),IF(OR(ISNUMBER(FIND("[",D159)),ISNUMBER(FIND("]",D159)),ISNUMBER(FIND(":",D159))),"ERROR",1))</f>
        <v/>
      </c>
      <c r="F159" s="110" t="inlineStr">
        <is>
          <t>A</t>
        </is>
      </c>
      <c r="G159" s="93" t="n"/>
      <c r="H159" s="93" t="n"/>
      <c r="I159" s="93" t="n"/>
      <c r="M159" s="72" t="n"/>
      <c r="P159" s="72" t="n"/>
      <c r="Q159" s="111" t="inlineStr">
        <is>
          <t xml:space="preserve">Floating
</t>
        </is>
      </c>
      <c r="R159" s="83" t="n"/>
      <c r="S159" s="83" t="n"/>
      <c r="T159" s="93" t="n"/>
    </row>
    <row r="160" hidden="1" s="26">
      <c r="A160" s="72" t="inlineStr">
        <is>
          <t>pmu_model.pmu_inst</t>
        </is>
      </c>
      <c r="B160" s="133" t="n"/>
      <c r="C160" s="83" t="inlineStr">
        <is>
          <t>TOP:pmu_inst_Ibias_10u</t>
        </is>
      </c>
      <c r="D160" s="83" t="inlineStr">
        <is>
          <t>Ibias_10u[1:0]</t>
        </is>
      </c>
      <c r="E160" s="83">
        <f>IF(AND(ISNUMBER(FIND("[",D160)),ISNUMBER(FIND("]",D160)),ISNUMBER(FIND(":",D160))),MID(D160,FIND("[",D160)+1,FIND(":",D160)-FIND("[",D160)-1)+1-MID(D160,FIND(":",D160)+1,FIND("]",D160)-FIND(":",D160)-1),IF(OR(ISNUMBER(FIND("[",D160)),ISNUMBER(FIND("]",D160)),ISNUMBER(FIND(":",D160))),"ERROR",1))</f>
        <v/>
      </c>
      <c r="F160" s="98" t="inlineStr">
        <is>
          <t>A</t>
        </is>
      </c>
      <c r="G160" s="93" t="n"/>
      <c r="H160" s="93" t="n"/>
      <c r="I160" s="93" t="n"/>
      <c r="M160" s="72" t="n"/>
      <c r="P160" s="72" t="n"/>
      <c r="Q160" s="83" t="inlineStr">
        <is>
          <t>10uA</t>
        </is>
      </c>
      <c r="R160" s="83" t="n"/>
      <c r="S160" s="83" t="n"/>
      <c r="T160" s="93" t="n"/>
    </row>
    <row r="161" hidden="1" ht="19.95" customHeight="1" s="26">
      <c r="A161" s="72" t="inlineStr">
        <is>
          <t>pmu_model.pmu_inst</t>
        </is>
      </c>
      <c r="B161" s="133" t="n"/>
      <c r="C161" s="83" t="inlineStr">
        <is>
          <t>TOP:pmu_inst_Iptat_1u</t>
        </is>
      </c>
      <c r="D161" s="83" t="inlineStr">
        <is>
          <t>Iptat_1u[1:0]</t>
        </is>
      </c>
      <c r="E161" s="83">
        <f>IF(AND(ISNUMBER(FIND("[",D161)),ISNUMBER(FIND("]",D161)),ISNUMBER(FIND(":",D161))),MID(D161,FIND("[",D161)+1,FIND(":",D161)-FIND("[",D161)-1)+1-MID(D161,FIND(":",D161)+1,FIND("]",D161)-FIND(":",D161)-1),IF(OR(ISNUMBER(FIND("[",D161)),ISNUMBER(FIND("]",D161)),ISNUMBER(FIND(":",D161))),"ERROR",1))</f>
        <v/>
      </c>
      <c r="F161" s="98" t="inlineStr">
        <is>
          <t>A</t>
        </is>
      </c>
      <c r="G161" s="93" t="n"/>
      <c r="H161" s="93" t="n"/>
      <c r="I161" s="93" t="n"/>
      <c r="M161" s="72" t="n"/>
      <c r="P161" s="72" t="n"/>
      <c r="Q161" s="111" t="inlineStr">
        <is>
          <t xml:space="preserve">Ibias_1u[5:4]
</t>
        </is>
      </c>
      <c r="R161" s="83" t="n"/>
      <c r="S161" s="83" t="n"/>
      <c r="T161" s="93" t="n"/>
    </row>
    <row r="162" hidden="1" ht="19.95" customHeight="1" s="26">
      <c r="A162" s="72" t="inlineStr">
        <is>
          <t>pmu_model.pmu_inst</t>
        </is>
      </c>
      <c r="B162" s="133" t="n"/>
      <c r="C162" s="109" t="inlineStr">
        <is>
          <t>TOP:pmu_inst_V12_DIG</t>
        </is>
      </c>
      <c r="D162" s="109" t="inlineStr">
        <is>
          <t>V12_DIG</t>
        </is>
      </c>
      <c r="E162" s="109">
        <f>IF(AND(ISNUMBER(FIND("[",D162)),ISNUMBER(FIND("]",D162)),ISNUMBER(FIND(":",D162))),MID(D162,FIND("[",D162)+1,FIND(":",D162)-FIND("[",D162)-1)+1-MID(D162,FIND(":",D162)+1,FIND("]",D162)-FIND(":",D162)-1),IF(OR(ISNUMBER(FIND("[",D162)),ISNUMBER(FIND("]",D162)),ISNUMBER(FIND(":",D162))),"ERROR",1))</f>
        <v/>
      </c>
      <c r="F162" s="110" t="inlineStr">
        <is>
          <t>A</t>
        </is>
      </c>
      <c r="G162" s="93" t="n"/>
      <c r="H162" s="93" t="n"/>
      <c r="I162" s="99" t="n"/>
      <c r="M162" s="72" t="n"/>
      <c r="P162" s="72" t="n"/>
      <c r="Q162" s="102" t="inlineStr">
        <is>
          <t>reserved</t>
        </is>
      </c>
      <c r="R162" s="83" t="n"/>
      <c r="S162" s="83" t="n"/>
      <c r="T162" s="93" t="n"/>
    </row>
    <row r="163" ht="19.95" customHeight="1" s="26">
      <c r="A163" s="72" t="inlineStr">
        <is>
          <t>pmu_model.pmu_inst</t>
        </is>
      </c>
      <c r="B163" s="133" t="n"/>
      <c r="C163" s="83" t="inlineStr">
        <is>
          <t>core_pd.core_pd_inst</t>
        </is>
      </c>
      <c r="D163" s="83" t="inlineStr">
        <is>
          <t>test_en_lv</t>
        </is>
      </c>
      <c r="E163" s="83">
        <f>IF(AND(ISNUMBER(FIND("[",D163)),ISNUMBER(FIND("]",D163)),ISNUMBER(FIND(":",D163))),MID(D163,FIND("[",D163)+1,FIND(":",D163)-FIND("[",D163)-1)+1-MID(D163,FIND(":",D163)+1,FIND("]",D163)-FIND(":",D163)-1),IF(OR(ISNUMBER(FIND("[",D163)),ISNUMBER(FIND("]",D163)),ISNUMBER(FIND(":",D163))),"ERROR",1))</f>
        <v/>
      </c>
      <c r="F163" s="98" t="inlineStr">
        <is>
          <t>I</t>
        </is>
      </c>
      <c r="G163" s="93" t="n"/>
      <c r="H163" s="93" t="inlineStr">
        <is>
          <t>b0</t>
        </is>
      </c>
      <c r="I163" s="93" t="inlineStr">
        <is>
          <t>YES</t>
        </is>
      </c>
      <c r="J163" s="88" t="n"/>
      <c r="K163" s="88" t="n"/>
      <c r="L163" s="88" t="n"/>
      <c r="M163" s="89">
        <f>H163</f>
        <v/>
      </c>
      <c r="N163" s="88" t="n"/>
      <c r="O163" s="88">
        <f>IF(AND(OR(EXACT(F163,"I"),EXACT(F163,"O")),NOT(EXACT(P163,"NA"))),CONCATENATE("c_reg_test_sel_",RIGHT(IF(B163=0,LOOKUP(2,1/($B$2:B163&lt;&gt;0),$B$2:B163),B163),LEN(IF(B163=0,LOOKUP(2,1/($B$2:B163&lt;&gt;0),$B$2:B163),B163))-FIND(".",IF(B163=0,LOOKUP(2,1/($B$2:B163&lt;&gt;0),$B$2:B163),B163))),IF(0,CONCATENATE("&amp; !c_test_reg_pin_disable_",RIGHT(IF(B163=0,LOOKUP(2,1/($B$2:B163&lt;&gt;0),$B$2:B163),B163),LEN(IF(B163=0,LOOKUP(2,1/($B$2:B163&lt;&gt;0),$B$2:B163),B163))-FIND(".",IF(B163=0,LOOKUP(2,1/($B$2:B163&lt;&gt;0),$B$2:B163),B163)))),""),IF(P163,CONCATENATE("_grp_",P163),""),"/","c_pad_",RIGHT(IF(B163=0,LOOKUP(2,1/($B$2:B163&lt;&gt;0),$B$2:B163),B163),LEN(IF(B163=0,LOOKUP(2,1/($B$2:B163&lt;&gt;0),$B$2:B163),B163))-FIND(".",IF(B163=0,LOOKUP(2,1/($B$2:B163&lt;&gt;0),$B$2:B163),B163))),"_",IF(ISNUMBER(SEARCH("[",D163)),LEFT(D163,FIND("[",D163)-1),D163)),"")</f>
        <v/>
      </c>
      <c r="P163" s="90" t="n">
        <v>4</v>
      </c>
      <c r="Q163" s="83" t="inlineStr">
        <is>
          <t>测试使能信号，控制 TEST_OUT，POR 和PVD
的测试状态，LPLDO 和 VREF 和 MLDO 的测
试不受影响。 test_en_lv=0-]非测试模式，无法
选择 TEST_OUT， POR 和PVD 进行测试；
TEST_OUT 此时浮空； test_en_lv=1-]测试模式1
（test1 enable），通过配置寄存器来选择对应 的
测试项；</t>
        </is>
      </c>
      <c r="R163" s="83" t="inlineStr">
        <is>
          <t xml:space="preserve"> 0x0037</t>
        </is>
      </c>
      <c r="S163" s="83" t="inlineStr">
        <is>
          <t>[7]</t>
        </is>
      </c>
      <c r="T163" s="93" t="n"/>
    </row>
    <row r="164" ht="19.95" customHeight="1" s="26">
      <c r="A164" s="72" t="inlineStr">
        <is>
          <t>pmu_model.pmu_inst</t>
        </is>
      </c>
      <c r="B164" s="133" t="n"/>
      <c r="C164" s="83" t="inlineStr">
        <is>
          <t>core_pd.core_pd_inst</t>
        </is>
      </c>
      <c r="D164" s="83" t="inlineStr">
        <is>
          <t>reg_test_lv[4:0]</t>
        </is>
      </c>
      <c r="E164" s="83">
        <f>IF(AND(ISNUMBER(FIND("[",D164)),ISNUMBER(FIND("]",D164)),ISNUMBER(FIND(":",D164))),MID(D164,FIND("[",D164)+1,FIND(":",D164)-FIND("[",D164)-1)+1-MID(D164,FIND(":",D164)+1,FIND("]",D164)-FIND(":",D164)-1),IF(OR(ISNUMBER(FIND("[",D164)),ISNUMBER(FIND("]",D164)),ISNUMBER(FIND(":",D164))),"ERROR",1))</f>
        <v/>
      </c>
      <c r="F164" s="98" t="inlineStr">
        <is>
          <t>I</t>
        </is>
      </c>
      <c r="G164" s="93" t="n"/>
      <c r="H164" s="93" t="inlineStr">
        <is>
          <t>b00000</t>
        </is>
      </c>
      <c r="I164" s="93" t="inlineStr">
        <is>
          <t>YES</t>
        </is>
      </c>
      <c r="J164" s="88" t="n"/>
      <c r="K164" s="88" t="n"/>
      <c r="L164" s="88" t="n"/>
      <c r="M164" s="89">
        <f>H164</f>
        <v/>
      </c>
      <c r="N164" s="88" t="n"/>
      <c r="O164" s="88">
        <f>IF(AND(OR(EXACT(F164,"I"),EXACT(F164,"O")),NOT(EXACT(P164,"NA"))),CONCATENATE("c_reg_test_sel_",RIGHT(IF(B164=0,LOOKUP(2,1/($B$2:B164&lt;&gt;0),$B$2:B164),B164),LEN(IF(B164=0,LOOKUP(2,1/($B$2:B164&lt;&gt;0),$B$2:B164),B164))-FIND(".",IF(B164=0,LOOKUP(2,1/($B$2:B164&lt;&gt;0),$B$2:B164),B164))),IF(0,CONCATENATE("&amp; !c_test_reg_pin_disable_",RIGHT(IF(B164=0,LOOKUP(2,1/($B$2:B164&lt;&gt;0),$B$2:B164),B164),LEN(IF(B164=0,LOOKUP(2,1/($B$2:B164&lt;&gt;0),$B$2:B164),B164))-FIND(".",IF(B164=0,LOOKUP(2,1/($B$2:B164&lt;&gt;0),$B$2:B164),B164)))),""),IF(P164,CONCATENATE("_grp_",P164),""),"/","c_pad_",RIGHT(IF(B164=0,LOOKUP(2,1/($B$2:B164&lt;&gt;0),$B$2:B164),B164),LEN(IF(B164=0,LOOKUP(2,1/($B$2:B164&lt;&gt;0),$B$2:B164),B164))-FIND(".",IF(B164=0,LOOKUP(2,1/($B$2:B164&lt;&gt;0),$B$2:B164),B164))),"_",IF(ISNUMBER(SEARCH("[",D164)),LEFT(D164,FIND("[",D164)-1),D164)),"")</f>
        <v/>
      </c>
      <c r="P164" s="90" t="n">
        <v>4</v>
      </c>
      <c r="Q164" s="83" t="inlineStr">
        <is>
          <t>reg_test_lv[4]=1 : buffer enable;
reg_test_lv[4]=0 : buffer disable;
reg_test_lv[3]=1 : Test1 enable;
reg_test_lv[3]=0 : Test2 enable;
test_en_lv=1&amp; reg_test_lv[3]=1 TEST_OUT=test1
(可以开buffer)
reg_test_lv[2:0]=000: TEST_OUT=vbg1p0;
reg_test_lv[2:0]=001: TEST_OUT=vbg1p2;（pvd、
por以及vref模块的参考电压）
reg_test_lv[2:0]=010: TEST_OUT=vref0p6;
（MLDO的参考电压）
reg_test_lv[2:0]=011: TEST_OUT=VREF0P8;
（eflash的参考电压）
reg_test_lv[2:0]=100: TEST_OUT=vdd1p2_ao;
(LPLDO 的输出)
reg_test_lv[2:0]=101: TEST_OUT=vdd1p2; (MLDO
的输出)
reg_test_lv[2:0]=110: TEST_OUT=V12_AON;
reg_test_lv[2:0]=111: TEST_OUT=V12M;
;
test_en_lv=1&amp; reg_test_lv[3]=0 TEST_OUT=test2
reg_test_lv[2:0]=000: TEST_OUT=VSS_PMU;
reg_test_lv[2:0]=001: TEST_OUT=vbg_ok_hv;
reg_test_lv[2:0]=010: TEST_OUT=Ibias5u[4];（会</t>
        </is>
      </c>
      <c r="R164" s="83" t="inlineStr">
        <is>
          <t xml:space="preserve"> 0x0037</t>
        </is>
      </c>
      <c r="S164" s="83" t="inlineStr">
        <is>
          <t>[4:0]</t>
        </is>
      </c>
      <c r="T164" s="93" t="n"/>
    </row>
    <row r="165" hidden="1" ht="19.95" customHeight="1" s="26">
      <c r="A165" s="72" t="inlineStr">
        <is>
          <t>pmu_model.pmu_inst</t>
        </is>
      </c>
      <c r="B165" s="133" t="n"/>
      <c r="C165" s="83" t="inlineStr">
        <is>
          <t>TOP:pmu_inst_TEST_OUT</t>
        </is>
      </c>
      <c r="D165" s="83" t="inlineStr">
        <is>
          <t>TEST_OUT</t>
        </is>
      </c>
      <c r="E165" s="83">
        <f>IF(AND(ISNUMBER(FIND("[",D165)),ISNUMBER(FIND("]",D165)),ISNUMBER(FIND(":",D165))),MID(D165,FIND("[",D165)+1,FIND(":",D165)-FIND("[",D165)-1)+1-MID(D165,FIND(":",D165)+1,FIND("]",D165)-FIND(":",D165)-1),IF(OR(ISNUMBER(FIND("[",D165)),ISNUMBER(FIND("]",D165)),ISNUMBER(FIND(":",D165))),"ERROR",1))</f>
        <v/>
      </c>
      <c r="F165" s="98" t="inlineStr">
        <is>
          <t>A</t>
        </is>
      </c>
      <c r="G165" s="93" t="n"/>
      <c r="H165" s="93" t="n"/>
      <c r="I165" s="99" t="n"/>
      <c r="M165" s="72" t="n"/>
      <c r="P165" s="72" t="n"/>
      <c r="Q165" s="102" t="n"/>
      <c r="R165" s="83" t="n"/>
      <c r="S165" s="83" t="n"/>
      <c r="T165" s="93" t="n"/>
    </row>
    <row r="166" hidden="1" ht="19.95" customHeight="1" s="26">
      <c r="A166" s="72" t="inlineStr">
        <is>
          <t>pmu_model.pmu_inst</t>
        </is>
      </c>
      <c r="B166" s="133" t="n"/>
      <c r="C166" s="109" t="inlineStr">
        <is>
          <t>TOP:pmu_inst_lsft_en_hv</t>
        </is>
      </c>
      <c r="D166" s="115" t="inlineStr">
        <is>
          <t>ls_en_hv</t>
        </is>
      </c>
      <c r="E166" s="109">
        <f>IF(AND(ISNUMBER(FIND("[",D166)),ISNUMBER(FIND("]",D166)),ISNUMBER(FIND(":",D166))),MID(D166,FIND("[",D166)+1,FIND(":",D166)-FIND("[",D166)-1)+1-MID(D166,FIND(":",D166)+1,FIND("]",D166)-FIND(":",D166)-1),IF(OR(ISNUMBER(FIND("[",D166)),ISNUMBER(FIND("]",D166)),ISNUMBER(FIND(":",D166))),"ERROR",1))</f>
        <v/>
      </c>
      <c r="F166" s="110" t="inlineStr">
        <is>
          <t>A</t>
        </is>
      </c>
      <c r="G166" s="93" t="n"/>
      <c r="H166" s="93" t="n"/>
      <c r="I166" s="99" t="n"/>
      <c r="M166" s="72" t="n"/>
      <c r="P166" s="72" t="n"/>
      <c r="Q166" s="114" t="inlineStr">
        <is>
          <t>Floating</t>
        </is>
      </c>
      <c r="R166" s="83" t="n"/>
      <c r="S166" s="83" t="n"/>
      <c r="T166" s="93" t="n"/>
    </row>
    <row r="167" ht="61.5" customHeight="1" s="26">
      <c r="A167" s="72" t="inlineStr">
        <is>
          <t>pmu_model.pmu_inst</t>
        </is>
      </c>
      <c r="B167" s="133" t="n"/>
      <c r="C167" s="83" t="inlineStr">
        <is>
          <t>core_pd.core_pd_inst</t>
        </is>
      </c>
      <c r="D167" s="79" t="inlineStr">
        <is>
          <t>reg_pmu[31:0]</t>
        </is>
      </c>
      <c r="E167" s="83">
        <f>IF(AND(ISNUMBER(FIND("[",D167)),ISNUMBER(FIND("]",D167)),ISNUMBER(FIND(":",D167))),MID(D167,FIND("[",D167)+1,FIND(":",D167)-FIND("[",D167)-1)+1-MID(D167,FIND(":",D167)+1,FIND("]",D167)-FIND(":",D167)-1),IF(OR(ISNUMBER(FIND("[",D167)),ISNUMBER(FIND("]",D167)),ISNUMBER(FIND(":",D167))),"ERROR",1))</f>
        <v/>
      </c>
      <c r="F167" s="98" t="inlineStr">
        <is>
          <t>I</t>
        </is>
      </c>
      <c r="G167" s="93" t="n"/>
      <c r="H167" s="93" t="inlineStr">
        <is>
          <t>b00000000000000000000000000000000</t>
        </is>
      </c>
      <c r="I167" s="93" t="inlineStr">
        <is>
          <t>YES</t>
        </is>
      </c>
      <c r="J167" s="88" t="n"/>
      <c r="K167" s="88" t="n"/>
      <c r="L167" s="88" t="n"/>
      <c r="M167" s="89">
        <f>H167</f>
        <v/>
      </c>
      <c r="N167" s="88" t="n"/>
      <c r="O167" s="88">
        <f>IF(AND(OR(EXACT(F167,"I"),EXACT(F167,"O")),NOT(EXACT(P167,"NA"))),CONCATENATE("c_reg_test_sel_",RIGHT(IF(B167=0,LOOKUP(2,1/($B$2:B167&lt;&gt;0),$B$2:B167),B167),LEN(IF(B167=0,LOOKUP(2,1/($B$2:B167&lt;&gt;0),$B$2:B167),B167))-FIND(".",IF(B167=0,LOOKUP(2,1/($B$2:B167&lt;&gt;0),$B$2:B167),B167))),IF(0,CONCATENATE("&amp; !c_test_reg_pin_disable_",RIGHT(IF(B167=0,LOOKUP(2,1/($B$2:B167&lt;&gt;0),$B$2:B167),B167),LEN(IF(B167=0,LOOKUP(2,1/($B$2:B167&lt;&gt;0),$B$2:B167),B167))-FIND(".",IF(B167=0,LOOKUP(2,1/($B$2:B167&lt;&gt;0),$B$2:B167),B167)))),""),IF(P167,CONCATENATE("_grp_",P167),""),"/","c_pad_",RIGHT(IF(B167=0,LOOKUP(2,1/($B$2:B167&lt;&gt;0),$B$2:B167),B167),LEN(IF(B167=0,LOOKUP(2,1/($B$2:B167&lt;&gt;0),$B$2:B167),B167))-FIND(".",IF(B167=0,LOOKUP(2,1/($B$2:B167&lt;&gt;0),$B$2:B167),B167))),"_",IF(ISNUMBER(SEARCH("[",D167)),LEFT(D167,FIND("[",D167)-1),D167)),"")</f>
        <v/>
      </c>
      <c r="P167" s="90" t="inlineStr">
        <is>
          <t>NA</t>
        </is>
      </c>
      <c r="Q167" s="79" t="inlineStr">
        <is>
          <t>reg_pmu[1:0]=reg_pd_lv[1:0]
reg_pmu[2]=reg_tsensor_en_lv</t>
        </is>
      </c>
      <c r="R167" s="83" t="inlineStr">
        <is>
          <t xml:space="preserve"> 0x003B
 0x003A 
 0x0039
0x0038</t>
        </is>
      </c>
      <c r="S167" s="83" t="inlineStr">
        <is>
          <t>[7:0]
[7:0]
[7:0]
[7:0]</t>
        </is>
      </c>
      <c r="T167" s="93" t="n"/>
    </row>
    <row r="168" hidden="1" ht="61.5" customHeight="1" s="26">
      <c r="A168" s="72" t="inlineStr">
        <is>
          <t>pmu_model.pmu_inst</t>
        </is>
      </c>
      <c r="B168" s="133" t="n"/>
      <c r="C168" s="116" t="inlineStr">
        <is>
          <t>TOP:</t>
        </is>
      </c>
      <c r="D168" s="94" t="inlineStr">
        <is>
          <t>Vtsensor</t>
        </is>
      </c>
      <c r="E168" s="83">
        <f>IF(AND(ISNUMBER(FIND("[",D168)),ISNUMBER(FIND("]",D168)),ISNUMBER(FIND(":",D168))),MID(D168,FIND("[",D168)+1,FIND(":",D168)-FIND("[",D168)-1)+1-MID(D168,FIND(":",D168)+1,FIND("]",D168)-FIND(":",D168)-1),IF(OR(ISNUMBER(FIND("[",D168)),ISNUMBER(FIND("]",D168)),ISNUMBER(FIND(":",D168))),"ERROR",1))</f>
        <v/>
      </c>
      <c r="F168" s="98" t="inlineStr">
        <is>
          <t>A</t>
        </is>
      </c>
      <c r="G168" s="93" t="n"/>
      <c r="H168" s="93" t="n"/>
      <c r="I168" s="99" t="n"/>
      <c r="M168" s="72" t="n"/>
      <c r="P168" s="72" t="n"/>
      <c r="Q168" s="102" t="n"/>
      <c r="R168" s="83" t="n"/>
      <c r="S168" s="83" t="n"/>
      <c r="T168" s="93" t="n"/>
    </row>
    <row r="169" hidden="1" ht="61.5" customHeight="1" s="26">
      <c r="A169" s="72" t="inlineStr">
        <is>
          <t>pmu_model.pmu_inst</t>
        </is>
      </c>
      <c r="B169" s="134" t="n"/>
      <c r="C169" s="116" t="inlineStr">
        <is>
          <t>TOP:</t>
        </is>
      </c>
      <c r="D169" s="116" t="inlineStr">
        <is>
          <t>test_in[3:0]</t>
        </is>
      </c>
      <c r="E169" s="83">
        <f>IF(AND(ISNUMBER(FIND("[",D169)),ISNUMBER(FIND("]",D169)),ISNUMBER(FIND(":",D169))),MID(D169,FIND("[",D169)+1,FIND(":",D169)-FIND("[",D169)-1)+1-MID(D169,FIND(":",D169)+1,FIND("]",D169)-FIND(":",D169)-1),IF(OR(ISNUMBER(FIND("[",D169)),ISNUMBER(FIND("]",D169)),ISNUMBER(FIND(":",D169))),"ERROR",1))</f>
        <v/>
      </c>
      <c r="F169" s="98" t="inlineStr">
        <is>
          <t>A</t>
        </is>
      </c>
      <c r="G169" s="117" t="n"/>
      <c r="H169" s="117" t="n"/>
      <c r="I169" s="117" t="n"/>
      <c r="M169" s="72" t="n"/>
      <c r="P169" s="72" t="n"/>
      <c r="Q169" s="116" t="inlineStr">
        <is>
          <t>增加内部模拟连接</t>
        </is>
      </c>
      <c r="R169" s="94" t="n"/>
      <c r="S169" s="94" t="n"/>
      <c r="T169" s="117" t="n"/>
    </row>
    <row r="170" hidden="1" s="26">
      <c r="A170" s="72" t="inlineStr">
        <is>
          <t>cmp_model.cmp_inst</t>
        </is>
      </c>
      <c r="B170" s="83" t="inlineStr">
        <is>
          <t>cmp_model.cmp_inst</t>
        </is>
      </c>
      <c r="C170" s="83" t="inlineStr">
        <is>
          <t>TOP:pmu_inst_V12M</t>
        </is>
      </c>
      <c r="D170" s="83" t="inlineStr">
        <is>
          <t>VDDD</t>
        </is>
      </c>
      <c r="E170" s="83">
        <f>IF(AND(ISNUMBER(FIND("[",D170)),ISNUMBER(FIND("]",D170)),ISNUMBER(FIND(":",D170))),MID(D170,FIND("[",D170)+1,FIND(":",D170)-FIND("[",D170)-1)+1-MID(D170,FIND(":",D170)+1,FIND("]",D170)-FIND(":",D170)-1),IF(OR(ISNUMBER(FIND("[",D170)),ISNUMBER(FIND("]",D170)),ISNUMBER(FIND(":",D170))),"ERROR",1))</f>
        <v/>
      </c>
      <c r="F170" s="98" t="inlineStr">
        <is>
          <t>P</t>
        </is>
      </c>
      <c r="G170" s="93" t="inlineStr">
        <is>
          <t>5V</t>
        </is>
      </c>
      <c r="H170" s="93" t="n"/>
      <c r="I170" s="83" t="n"/>
      <c r="M170" s="72" t="n"/>
      <c r="P170" s="72" t="n"/>
      <c r="Q170" s="105" t="n"/>
      <c r="R170" s="83" t="n"/>
      <c r="S170" s="83" t="n"/>
      <c r="T170" s="83" t="n"/>
    </row>
    <row r="171" hidden="1" s="26">
      <c r="A171" s="72" t="inlineStr">
        <is>
          <t>cmp_model.cmp_inst</t>
        </is>
      </c>
      <c r="B171" s="133" t="n"/>
      <c r="C171" s="83" t="inlineStr">
        <is>
          <t>TOP:VCC5V</t>
        </is>
      </c>
      <c r="D171" s="83" t="inlineStr">
        <is>
          <t>VDDA</t>
        </is>
      </c>
      <c r="E171" s="83">
        <f>IF(AND(ISNUMBER(FIND("[",D171)),ISNUMBER(FIND("]",D171)),ISNUMBER(FIND(":",D171))),MID(D171,FIND("[",D171)+1,FIND(":",D171)-FIND("[",D171)-1)+1-MID(D171,FIND(":",D171)+1,FIND("]",D171)-FIND(":",D171)-1),IF(OR(ISNUMBER(FIND("[",D171)),ISNUMBER(FIND("]",D171)),ISNUMBER(FIND(":",D171))),"ERROR",1))</f>
        <v/>
      </c>
      <c r="F171" s="98" t="inlineStr">
        <is>
          <t>P</t>
        </is>
      </c>
      <c r="G171" s="83" t="n"/>
      <c r="H171" s="117" t="n"/>
      <c r="I171" s="83" t="n"/>
      <c r="M171" s="72" t="n"/>
      <c r="P171" s="72" t="n"/>
      <c r="Q171" s="83" t="n"/>
      <c r="R171" s="83" t="n"/>
      <c r="S171" s="83" t="n"/>
      <c r="T171" s="83" t="n"/>
    </row>
    <row r="172" hidden="1" s="26">
      <c r="A172" s="72" t="inlineStr">
        <is>
          <t>cmp_model.cmp_inst</t>
        </is>
      </c>
      <c r="B172" s="133" t="n"/>
      <c r="C172" s="83" t="inlineStr">
        <is>
          <t>TOP:VSSA</t>
        </is>
      </c>
      <c r="D172" s="83" t="inlineStr">
        <is>
          <t>VSSA</t>
        </is>
      </c>
      <c r="E172" s="83">
        <f>IF(AND(ISNUMBER(FIND("[",D172)),ISNUMBER(FIND("]",D172)),ISNUMBER(FIND(":",D172))),MID(D172,FIND("[",D172)+1,FIND(":",D172)-FIND("[",D172)-1)+1-MID(D172,FIND(":",D172)+1,FIND("]",D172)-FIND(":",D172)-1),IF(OR(ISNUMBER(FIND("[",D172)),ISNUMBER(FIND("]",D172)),ISNUMBER(FIND(":",D172))),"ERROR",1))</f>
        <v/>
      </c>
      <c r="F172" s="98" t="inlineStr">
        <is>
          <t>G</t>
        </is>
      </c>
      <c r="G172" s="83" t="n"/>
      <c r="H172" s="83" t="n"/>
      <c r="I172" s="83" t="n"/>
      <c r="M172" s="72" t="n"/>
      <c r="P172" s="72" t="n"/>
      <c r="Q172" s="83" t="n"/>
      <c r="R172" s="83" t="n"/>
      <c r="S172" s="83" t="n"/>
      <c r="T172" s="83" t="n"/>
    </row>
    <row r="173" hidden="1" s="26">
      <c r="A173" s="72" t="inlineStr">
        <is>
          <t>cmp_model.cmp_inst</t>
        </is>
      </c>
      <c r="B173" s="133" t="n"/>
      <c r="C173" s="118" t="inlineStr">
        <is>
          <t>TOP:VSSD</t>
        </is>
      </c>
      <c r="D173" s="118" t="inlineStr">
        <is>
          <t>VSSD</t>
        </is>
      </c>
      <c r="E173" s="83">
        <f>IF(AND(ISNUMBER(FIND("[",D173)),ISNUMBER(FIND("]",D173)),ISNUMBER(FIND(":",D173))),MID(D173,FIND("[",D173)+1,FIND(":",D173)-FIND("[",D173)-1)+1-MID(D173,FIND(":",D173)+1,FIND("]",D173)-FIND(":",D173)-1),IF(OR(ISNUMBER(FIND("[",D173)),ISNUMBER(FIND("]",D173)),ISNUMBER(FIND(":",D173))),"ERROR",1))</f>
        <v/>
      </c>
      <c r="F173" s="98" t="inlineStr">
        <is>
          <t>G</t>
        </is>
      </c>
      <c r="G173" s="83" t="n"/>
      <c r="H173" s="83" t="n"/>
      <c r="I173" s="83" t="n"/>
      <c r="M173" s="72" t="n"/>
      <c r="P173" s="72" t="n"/>
      <c r="Q173" s="83" t="n"/>
      <c r="R173" s="83" t="n"/>
      <c r="S173" s="83" t="n"/>
      <c r="T173" s="83" t="n"/>
    </row>
    <row r="174" hidden="1" s="26">
      <c r="A174" s="72" t="inlineStr">
        <is>
          <t>cmp_model.cmp_inst</t>
        </is>
      </c>
      <c r="B174" s="133" t="n"/>
      <c r="C174" s="83" t="inlineStr">
        <is>
          <t>TOP:cmp_inst_AI_VC_POC_5V</t>
        </is>
      </c>
      <c r="D174" s="83" t="inlineStr">
        <is>
          <t>AI_VC_POC_5V</t>
        </is>
      </c>
      <c r="E174" s="83">
        <f>IF(AND(ISNUMBER(FIND("[",D174)),ISNUMBER(FIND("]",D174)),ISNUMBER(FIND(":",D174))),MID(D174,FIND("[",D174)+1,FIND(":",D174)-FIND("[",D174)-1)+1-MID(D174,FIND(":",D174)+1,FIND("]",D174)-FIND(":",D174)-1),IF(OR(ISNUMBER(FIND("[",D174)),ISNUMBER(FIND("]",D174)),ISNUMBER(FIND(":",D174))),"ERROR",1))</f>
        <v/>
      </c>
      <c r="F174" s="98" t="inlineStr">
        <is>
          <t>A</t>
        </is>
      </c>
      <c r="G174" s="83" t="n"/>
      <c r="H174" s="83" t="n"/>
      <c r="I174" s="83" t="n"/>
      <c r="M174" s="72" t="n"/>
      <c r="P174" s="72" t="n"/>
      <c r="Q174" s="119" t="inlineStr">
        <is>
          <t>POR逻辑取反，即AI_VC_POC_5V为低电平复位，高电平释放。</t>
        </is>
      </c>
      <c r="R174" s="83" t="n"/>
      <c r="S174" s="83" t="n"/>
      <c r="T174" s="83" t="n"/>
    </row>
    <row r="175" hidden="1" s="26">
      <c r="A175" s="72" t="inlineStr">
        <is>
          <t>cmp_model.cmp_inst</t>
        </is>
      </c>
      <c r="B175" s="133" t="n"/>
      <c r="C175" s="83" t="inlineStr">
        <is>
          <t>TOP:pmu_inst_Ibias_1u[0]</t>
        </is>
      </c>
      <c r="D175" s="83" t="inlineStr">
        <is>
          <t>AI_VC_IBN</t>
        </is>
      </c>
      <c r="E175" s="83">
        <f>IF(AND(ISNUMBER(FIND("[",D175)),ISNUMBER(FIND("]",D175)),ISNUMBER(FIND(":",D175))),MID(D175,FIND("[",D175)+1,FIND(":",D175)-FIND("[",D175)-1)+1-MID(D175,FIND(":",D175)+1,FIND("]",D175)-FIND(":",D175)-1),IF(OR(ISNUMBER(FIND("[",D175)),ISNUMBER(FIND("]",D175)),ISNUMBER(FIND(":",D175))),"ERROR",1))</f>
        <v/>
      </c>
      <c r="F175" s="98" t="inlineStr">
        <is>
          <t>A</t>
        </is>
      </c>
      <c r="G175" s="83" t="n"/>
      <c r="H175" s="83" t="n"/>
      <c r="I175" s="83" t="n"/>
      <c r="M175" s="72" t="n"/>
      <c r="P175" s="72" t="n"/>
      <c r="Q175" s="105" t="inlineStr">
        <is>
          <t>From current source, ZTAT电流</t>
        </is>
      </c>
      <c r="R175" s="83" t="n"/>
      <c r="S175" s="83" t="n"/>
      <c r="T175" s="83" t="n"/>
    </row>
    <row r="176" hidden="1" s="26">
      <c r="A176" s="72" t="inlineStr">
        <is>
          <t>cmp_model.cmp_inst</t>
        </is>
      </c>
      <c r="B176" s="133" t="n"/>
      <c r="C176" s="122" t="inlineStr">
        <is>
          <t>TOP:pmu_inst_Ibias_2u[0]</t>
        </is>
      </c>
      <c r="D176" s="122" t="inlineStr">
        <is>
          <t>AI_VC_IBN2U</t>
        </is>
      </c>
      <c r="E176" s="83">
        <f>IF(AND(ISNUMBER(FIND("[",D176)),ISNUMBER(FIND("]",D176)),ISNUMBER(FIND(":",D176))),MID(D176,FIND("[",D176)+1,FIND(":",D176)-FIND("[",D176)-1)+1-MID(D176,FIND(":",D176)+1,FIND("]",D176)-FIND(":",D176)-1),IF(OR(ISNUMBER(FIND("[",D176)),ISNUMBER(FIND("]",D176)),ISNUMBER(FIND(":",D176))),"ERROR",1))</f>
        <v/>
      </c>
      <c r="F176" s="98" t="inlineStr">
        <is>
          <t>A</t>
        </is>
      </c>
      <c r="G176" s="83" t="n"/>
      <c r="H176" s="83" t="n"/>
      <c r="I176" s="83" t="n"/>
      <c r="M176" s="72" t="n"/>
      <c r="P176" s="72" t="n"/>
      <c r="Q176" s="105" t="inlineStr">
        <is>
          <t>From current source, ZTAT电流</t>
        </is>
      </c>
      <c r="R176" s="83" t="n"/>
      <c r="S176" s="83" t="n"/>
      <c r="T176" s="83" t="n"/>
    </row>
    <row r="177" hidden="1" s="26">
      <c r="A177" s="72" t="inlineStr">
        <is>
          <t>cmp_model.cmp_inst</t>
        </is>
      </c>
      <c r="B177" s="133" t="n"/>
      <c r="C177" s="122" t="inlineStr">
        <is>
          <t>TOP:pmu_inst_IAO_60N[0]</t>
        </is>
      </c>
      <c r="D177" s="122" t="inlineStr">
        <is>
          <t>AI_VC_IBN60N</t>
        </is>
      </c>
      <c r="E177" s="83">
        <f>IF(AND(ISNUMBER(FIND("[",D177)),ISNUMBER(FIND("]",D177)),ISNUMBER(FIND(":",D177))),MID(D177,FIND("[",D177)+1,FIND(":",D177)-FIND("[",D177)-1)+1-MID(D177,FIND(":",D177)+1,FIND("]",D177)-FIND(":",D177)-1),IF(OR(ISNUMBER(FIND("[",D177)),ISNUMBER(FIND("]",D177)),ISNUMBER(FIND(":",D177))),"ERROR",1))</f>
        <v/>
      </c>
      <c r="F177" s="98" t="inlineStr">
        <is>
          <t>A</t>
        </is>
      </c>
      <c r="G177" s="83" t="n"/>
      <c r="H177" s="83" t="n"/>
      <c r="I177" s="83" t="n"/>
      <c r="M177" s="72" t="n"/>
      <c r="P177" s="72" t="n"/>
      <c r="Q177" s="105" t="inlineStr">
        <is>
          <t>From current source</t>
        </is>
      </c>
      <c r="R177" s="83" t="n"/>
      <c r="S177" s="83" t="n"/>
      <c r="T177" s="83" t="n"/>
    </row>
    <row r="178" hidden="1" s="26">
      <c r="A178" s="72" t="inlineStr">
        <is>
          <t>cmp_model.cmp_inst</t>
        </is>
      </c>
      <c r="B178" s="133" t="n"/>
      <c r="C178" s="122" t="inlineStr">
        <is>
          <t>TOP:pmu_inst_IAO_240N[0]</t>
        </is>
      </c>
      <c r="D178" s="122" t="inlineStr">
        <is>
          <t>AI_VC_IBN240N</t>
        </is>
      </c>
      <c r="E178" s="83">
        <f>IF(AND(ISNUMBER(FIND("[",D178)),ISNUMBER(FIND("]",D178)),ISNUMBER(FIND(":",D178))),MID(D178,FIND("[",D178)+1,FIND(":",D178)-FIND("[",D178)-1)+1-MID(D178,FIND(":",D178)+1,FIND("]",D178)-FIND(":",D178)-1),IF(OR(ISNUMBER(FIND("[",D178)),ISNUMBER(FIND("]",D178)),ISNUMBER(FIND(":",D178))),"ERROR",1))</f>
        <v/>
      </c>
      <c r="F178" s="98" t="inlineStr">
        <is>
          <t>A</t>
        </is>
      </c>
      <c r="G178" s="83" t="n"/>
      <c r="H178" s="83" t="n"/>
      <c r="I178" s="83" t="n"/>
      <c r="M178" s="72" t="n"/>
      <c r="P178" s="72" t="n"/>
      <c r="Q178" s="105" t="inlineStr">
        <is>
          <t>From current source</t>
        </is>
      </c>
      <c r="R178" s="83" t="n"/>
      <c r="S178" s="83" t="n"/>
      <c r="T178" s="83" t="n"/>
    </row>
    <row r="179" hidden="1" s="26">
      <c r="A179" s="72" t="inlineStr">
        <is>
          <t>cmp_model.cmp_inst</t>
        </is>
      </c>
      <c r="B179" s="133" t="n"/>
      <c r="C179" s="111" t="inlineStr">
        <is>
          <t>TOP:cmp_inst_AI_VC_VIN</t>
        </is>
      </c>
      <c r="D179" s="111" t="inlineStr">
        <is>
          <t>AI_VC_PAD_VIN[1:0]</t>
        </is>
      </c>
      <c r="E179" s="83">
        <f>IF(AND(ISNUMBER(FIND("[",D179)),ISNUMBER(FIND("]",D179)),ISNUMBER(FIND(":",D179))),MID(D179,FIND("[",D179)+1,FIND(":",D179)-FIND("[",D179)-1)+1-MID(D179,FIND(":",D179)+1,FIND("]",D179)-FIND(":",D179)-1),IF(OR(ISNUMBER(FIND("[",D179)),ISNUMBER(FIND("]",D179)),ISNUMBER(FIND(":",D179))),"ERROR",1))</f>
        <v/>
      </c>
      <c r="F179" s="98" t="inlineStr">
        <is>
          <t>A</t>
        </is>
      </c>
      <c r="G179" s="83" t="n"/>
      <c r="H179" s="83" t="n"/>
      <c r="I179" s="83" t="n"/>
      <c r="M179" s="72" t="n"/>
      <c r="P179" s="72" t="n"/>
      <c r="Q179" s="105" t="inlineStr">
        <is>
          <t>接I/O PAD</t>
        </is>
      </c>
      <c r="R179" s="83" t="n"/>
      <c r="S179" s="83" t="n"/>
      <c r="T179" s="83" t="n"/>
    </row>
    <row r="180" hidden="1" s="26">
      <c r="A180" s="72" t="inlineStr">
        <is>
          <t>cmp_model.cmp_inst</t>
        </is>
      </c>
      <c r="B180" s="133" t="n"/>
      <c r="C180" s="111" t="inlineStr">
        <is>
          <t>TOP:cmp_inst_AI_INN</t>
        </is>
      </c>
      <c r="D180" s="111" t="inlineStr">
        <is>
          <t>AI_VC_IN_VIN[1:0]</t>
        </is>
      </c>
      <c r="E180" s="83">
        <f>IF(AND(ISNUMBER(FIND("[",D180)),ISNUMBER(FIND("]",D180)),ISNUMBER(FIND(":",D180))),MID(D180,FIND("[",D180)+1,FIND(":",D180)-FIND("[",D180)-1)+1-MID(D180,FIND(":",D180)+1,FIND("]",D180)-FIND(":",D180)-1),IF(OR(ISNUMBER(FIND("[",D180)),ISNUMBER(FIND("]",D180)),ISNUMBER(FIND(":",D180))),"ERROR",1))</f>
        <v/>
      </c>
      <c r="F180" s="98" t="inlineStr">
        <is>
          <t>A</t>
        </is>
      </c>
      <c r="G180" s="83" t="n"/>
      <c r="H180" s="83" t="n"/>
      <c r="I180" s="83" t="n"/>
      <c r="M180" s="72" t="n"/>
      <c r="P180" s="72" t="n"/>
      <c r="Q180" s="105" t="inlineStr">
        <is>
          <t>接芯片内部信号</t>
        </is>
      </c>
      <c r="R180" s="83" t="n"/>
      <c r="S180" s="83" t="n"/>
      <c r="T180" s="83" t="n"/>
    </row>
    <row r="181">
      <c r="A181" s="72" t="inlineStr">
        <is>
          <t>cmp_model.cmp_inst</t>
        </is>
      </c>
      <c r="B181" s="133" t="n"/>
      <c r="C181" s="111" t="inlineStr">
        <is>
          <t>core_pd.core_pd_inst</t>
        </is>
      </c>
      <c r="D181" s="111" t="inlineStr">
        <is>
          <t>LI_VC_INN_SEL</t>
        </is>
      </c>
      <c r="E181" s="83">
        <f>IF(AND(ISNUMBER(FIND("[",D181)),ISNUMBER(FIND("]",D181)),ISNUMBER(FIND(":",D181))),MID(D181,FIND("[",D181)+1,FIND(":",D181)-FIND("[",D181)-1)+1-MID(D181,FIND(":",D181)+1,FIND("]",D181)-FIND(":",D181)-1),IF(OR(ISNUMBER(FIND("[",D181)),ISNUMBER(FIND("]",D181)),ISNUMBER(FIND(":",D181))),"ERROR",1))</f>
        <v/>
      </c>
      <c r="F181" s="98" t="inlineStr">
        <is>
          <t>I</t>
        </is>
      </c>
      <c r="G181" s="83" t="n"/>
      <c r="H181" s="104" t="inlineStr">
        <is>
          <t>b1</t>
        </is>
      </c>
      <c r="I181" s="93" t="inlineStr">
        <is>
          <t>YES</t>
        </is>
      </c>
      <c r="J181" s="88" t="n"/>
      <c r="K181" s="88" t="n"/>
      <c r="L181" s="88" t="n"/>
      <c r="M181" s="89">
        <f>H181</f>
        <v/>
      </c>
      <c r="N181" s="88" t="n"/>
      <c r="O181" s="88">
        <f>IF(AND(OR(EXACT(F181,"I"),EXACT(F181,"O")),NOT(EXACT(P181,"NA"))),CONCATENATE("c_reg_test_sel_",RIGHT(IF(B181=0,LOOKUP(2,1/($B$2:B181&lt;&gt;0),$B$2:B181),B181),LEN(IF(B181=0,LOOKUP(2,1/($B$2:B181&lt;&gt;0),$B$2:B181),B181))-FIND(".",IF(B181=0,LOOKUP(2,1/($B$2:B181&lt;&gt;0),$B$2:B181),B181))),IF(0,CONCATENATE("&amp; !c_test_reg_pin_disable_",RIGHT(IF(B181=0,LOOKUP(2,1/($B$2:B181&lt;&gt;0),$B$2:B181),B181),LEN(IF(B181=0,LOOKUP(2,1/($B$2:B181&lt;&gt;0),$B$2:B181),B181))-FIND(".",IF(B181=0,LOOKUP(2,1/($B$2:B181&lt;&gt;0),$B$2:B181),B181)))),""),IF(P181,CONCATENATE("_grp_",P181),""),"/","c_pad_",RIGHT(IF(B181=0,LOOKUP(2,1/($B$2:B181&lt;&gt;0),$B$2:B181),B181),LEN(IF(B181=0,LOOKUP(2,1/($B$2:B181&lt;&gt;0),$B$2:B181),B181))-FIND(".",IF(B181=0,LOOKUP(2,1/($B$2:B181&lt;&gt;0),$B$2:B181),B181))),"_",IF(ISNUMBER(SEARCH("[",D181)),LEFT(D181,FIND("[",D181)-1),D181)),"")</f>
        <v/>
      </c>
      <c r="P181" s="90" t="n"/>
      <c r="Q181" s="120" t="inlineStr">
        <is>
          <t>现减至一位</t>
        </is>
      </c>
      <c r="R181" s="83" t="inlineStr">
        <is>
          <t xml:space="preserve"> 0x0040</t>
        </is>
      </c>
      <c r="S181" s="83" t="inlineStr">
        <is>
          <t>[3:0]</t>
        </is>
      </c>
      <c r="T181" s="83" t="n"/>
    </row>
    <row r="182">
      <c r="A182" s="72" t="inlineStr">
        <is>
          <t>cmp_model.cmp_inst</t>
        </is>
      </c>
      <c r="B182" s="133" t="n"/>
      <c r="C182" s="111" t="inlineStr">
        <is>
          <t>core_pd.core_pd_inst</t>
        </is>
      </c>
      <c r="D182" s="111" t="inlineStr">
        <is>
          <t>LI_VC_INP_SEL</t>
        </is>
      </c>
      <c r="E182" s="83">
        <f>IF(AND(ISNUMBER(FIND("[",D182)),ISNUMBER(FIND("]",D182)),ISNUMBER(FIND(":",D182))),MID(D182,FIND("[",D182)+1,FIND(":",D182)-FIND("[",D182)-1)+1-MID(D182,FIND(":",D182)+1,FIND("]",D182)-FIND(":",D182)-1),IF(OR(ISNUMBER(FIND("[",D182)),ISNUMBER(FIND("]",D182)),ISNUMBER(FIND(":",D182))),"ERROR",1))</f>
        <v/>
      </c>
      <c r="F182" s="98" t="inlineStr">
        <is>
          <t>I</t>
        </is>
      </c>
      <c r="G182" s="83" t="n"/>
      <c r="H182" s="77" t="inlineStr">
        <is>
          <t>b1</t>
        </is>
      </c>
      <c r="I182" s="93" t="inlineStr">
        <is>
          <t>YES</t>
        </is>
      </c>
      <c r="J182" s="88" t="n"/>
      <c r="K182" s="88" t="n"/>
      <c r="L182" s="88" t="n"/>
      <c r="M182" s="89">
        <f>H182</f>
        <v/>
      </c>
      <c r="N182" s="88" t="n"/>
      <c r="O182" s="88">
        <f>IF(AND(OR(EXACT(F182,"I"),EXACT(F182,"O")),NOT(EXACT(P182,"NA"))),CONCATENATE("c_reg_test_sel_",RIGHT(IF(B182=0,LOOKUP(2,1/($B$2:B182&lt;&gt;0),$B$2:B182),B182),LEN(IF(B182=0,LOOKUP(2,1/($B$2:B182&lt;&gt;0),$B$2:B182),B182))-FIND(".",IF(B182=0,LOOKUP(2,1/($B$2:B182&lt;&gt;0),$B$2:B182),B182))),IF(0,CONCATENATE("&amp; !c_test_reg_pin_disable_",RIGHT(IF(B182=0,LOOKUP(2,1/($B$2:B182&lt;&gt;0),$B$2:B182),B182),LEN(IF(B182=0,LOOKUP(2,1/($B$2:B182&lt;&gt;0),$B$2:B182),B182))-FIND(".",IF(B182=0,LOOKUP(2,1/($B$2:B182&lt;&gt;0),$B$2:B182),B182)))),""),IF(P182,CONCATENATE("_grp_",P182),""),"/","c_pad_",RIGHT(IF(B182=0,LOOKUP(2,1/($B$2:B182&lt;&gt;0),$B$2:B182),B182),LEN(IF(B182=0,LOOKUP(2,1/($B$2:B182&lt;&gt;0),$B$2:B182),B182))-FIND(".",IF(B182=0,LOOKUP(2,1/($B$2:B182&lt;&gt;0),$B$2:B182),B182))),"_",IF(ISNUMBER(SEARCH("[",D182)),LEFT(D182,FIND("[",D182)-1),D182)),"")</f>
        <v/>
      </c>
      <c r="P182" s="90" t="n"/>
      <c r="Q182" s="120" t="inlineStr">
        <is>
          <t>现减至一位</t>
        </is>
      </c>
      <c r="R182" s="83" t="inlineStr">
        <is>
          <t xml:space="preserve"> 0x0041</t>
        </is>
      </c>
      <c r="S182" s="83" t="inlineStr">
        <is>
          <t>[3:0]</t>
        </is>
      </c>
      <c r="T182" s="83" t="n"/>
    </row>
    <row r="183">
      <c r="A183" s="72" t="inlineStr">
        <is>
          <t>cmp_model.cmp_inst</t>
        </is>
      </c>
      <c r="B183" s="133" t="n"/>
      <c r="C183" s="119" t="inlineStr">
        <is>
          <t>core_pd.core_pd_inst</t>
        </is>
      </c>
      <c r="D183" s="119" t="inlineStr">
        <is>
          <t>LI_VC_BIAS_SEL[1:0]</t>
        </is>
      </c>
      <c r="E183" s="119">
        <f>IF(AND(ISNUMBER(FIND("[",D183)),ISNUMBER(FIND("]",D183)),ISNUMBER(FIND(":",D183))),MID(D183,FIND("[",D183)+1,FIND(":",D183)-FIND("[",D183)-1)+1-MID(D183,FIND(":",D183)+1,FIND("]",D183)-FIND(":",D183)-1),IF(OR(ISNUMBER(FIND("[",D183)),ISNUMBER(FIND("]",D183)),ISNUMBER(FIND(":",D183))),"ERROR",1))</f>
        <v/>
      </c>
      <c r="F183" s="98" t="inlineStr">
        <is>
          <t>I</t>
        </is>
      </c>
      <c r="G183" s="119" t="n"/>
      <c r="H183" s="119" t="inlineStr">
        <is>
          <t>b00</t>
        </is>
      </c>
      <c r="I183" s="93" t="inlineStr">
        <is>
          <t>YES</t>
        </is>
      </c>
      <c r="J183" s="88" t="n"/>
      <c r="K183" s="88" t="n"/>
      <c r="L183" s="88" t="n"/>
      <c r="M183" s="89">
        <f>H183</f>
        <v/>
      </c>
      <c r="N183" s="88" t="n"/>
      <c r="O183" s="88">
        <f>IF(AND(OR(EXACT(F183,"I"),EXACT(F183,"O")),NOT(EXACT(P183,"NA"))),CONCATENATE("c_reg_test_sel_",RIGHT(IF(B183=0,LOOKUP(2,1/($B$2:B183&lt;&gt;0),$B$2:B183),B183),LEN(IF(B183=0,LOOKUP(2,1/($B$2:B183&lt;&gt;0),$B$2:B183),B183))-FIND(".",IF(B183=0,LOOKUP(2,1/($B$2:B183&lt;&gt;0),$B$2:B183),B183))),IF(0,CONCATENATE("&amp; !c_test_reg_pin_disable_",RIGHT(IF(B183=0,LOOKUP(2,1/($B$2:B183&lt;&gt;0),$B$2:B183),B183),LEN(IF(B183=0,LOOKUP(2,1/($B$2:B183&lt;&gt;0),$B$2:B183),B183))-FIND(".",IF(B183=0,LOOKUP(2,1/($B$2:B183&lt;&gt;0),$B$2:B183),B183)))),""),IF(P183,CONCATENATE("_grp_",P183),""),"/","c_pad_",RIGHT(IF(B183=0,LOOKUP(2,1/($B$2:B183&lt;&gt;0),$B$2:B183),B183),LEN(IF(B183=0,LOOKUP(2,1/($B$2:B183&lt;&gt;0),$B$2:B183),B183))-FIND(".",IF(B183=0,LOOKUP(2,1/($B$2:B183&lt;&gt;0),$B$2:B183),B183))),"_",IF(ISNUMBER(SEARCH("[",D183)),LEFT(D183,FIND("[",D183)-1),D183)),"")</f>
        <v/>
      </c>
      <c r="P183" s="90" t="n"/>
      <c r="Q183" s="119" t="n"/>
      <c r="R183" s="119" t="inlineStr">
        <is>
          <t xml:space="preserve"> 0x0042</t>
        </is>
      </c>
      <c r="S183" s="119" t="inlineStr">
        <is>
          <t>[1:0]</t>
        </is>
      </c>
      <c r="T183" s="119" t="n"/>
    </row>
    <row r="184">
      <c r="A184" s="72" t="inlineStr">
        <is>
          <t>cmp_model.cmp_inst</t>
        </is>
      </c>
      <c r="B184" s="133" t="n"/>
      <c r="C184" s="83" t="inlineStr">
        <is>
          <t>core_pd.core_pd_inst</t>
        </is>
      </c>
      <c r="D184" s="83" t="inlineStr">
        <is>
          <t>LI_VC_EN</t>
        </is>
      </c>
      <c r="E184" s="83">
        <f>IF(AND(ISNUMBER(FIND("[",D184)),ISNUMBER(FIND("]",D184)),ISNUMBER(FIND(":",D184))),MID(D184,FIND("[",D184)+1,FIND(":",D184)-FIND("[",D184)-1)+1-MID(D184,FIND(":",D184)+1,FIND("]",D184)-FIND(":",D184)-1),IF(OR(ISNUMBER(FIND("[",D184)),ISNUMBER(FIND("]",D184)),ISNUMBER(FIND(":",D184))),"ERROR",1))</f>
        <v/>
      </c>
      <c r="F184" s="119" t="inlineStr">
        <is>
          <t>I</t>
        </is>
      </c>
      <c r="G184" s="121" t="n"/>
      <c r="H184" s="93" t="inlineStr">
        <is>
          <t>b0</t>
        </is>
      </c>
      <c r="I184" s="93" t="inlineStr">
        <is>
          <t>YES</t>
        </is>
      </c>
      <c r="J184" s="88" t="n"/>
      <c r="K184" s="88" t="n"/>
      <c r="L184" s="88" t="n"/>
      <c r="M184" s="89">
        <f>H184</f>
        <v/>
      </c>
      <c r="N184" s="88" t="n"/>
      <c r="O184" s="88">
        <f>IF(AND(OR(EXACT(F184,"I"),EXACT(F184,"O")),NOT(EXACT(P184,"NA"))),CONCATENATE("c_reg_test_sel_",RIGHT(IF(B184=0,LOOKUP(2,1/($B$2:B184&lt;&gt;0),$B$2:B184),B184),LEN(IF(B184=0,LOOKUP(2,1/($B$2:B184&lt;&gt;0),$B$2:B184),B184))-FIND(".",IF(B184=0,LOOKUP(2,1/($B$2:B184&lt;&gt;0),$B$2:B184),B184))),IF(0,CONCATENATE("&amp; !c_test_reg_pin_disable_",RIGHT(IF(B184=0,LOOKUP(2,1/($B$2:B184&lt;&gt;0),$B$2:B184),B184),LEN(IF(B184=0,LOOKUP(2,1/($B$2:B184&lt;&gt;0),$B$2:B184),B184))-FIND(".",IF(B184=0,LOOKUP(2,1/($B$2:B184&lt;&gt;0),$B$2:B184),B184)))),""),IF(P184,CONCATENATE("_grp_",P184),""),"/","c_pad_",RIGHT(IF(B184=0,LOOKUP(2,1/($B$2:B184&lt;&gt;0),$B$2:B184),B184),LEN(IF(B184=0,LOOKUP(2,1/($B$2:B184&lt;&gt;0),$B$2:B184),B184))-FIND(".",IF(B184=0,LOOKUP(2,1/($B$2:B184&lt;&gt;0),$B$2:B184),B184))),"_",IF(ISNUMBER(SEARCH("[",D184)),LEFT(D184,FIND("[",D184)-1),D184)),"")</f>
        <v/>
      </c>
      <c r="P184" s="90" t="n"/>
      <c r="Q184" s="105" t="inlineStr">
        <is>
          <t>0: 关闭；1: 打开；</t>
        </is>
      </c>
      <c r="R184" s="83" t="inlineStr">
        <is>
          <t>0x0043</t>
        </is>
      </c>
      <c r="S184" s="121" t="inlineStr">
        <is>
          <t>[0]</t>
        </is>
      </c>
      <c r="T184" s="83" t="n"/>
    </row>
    <row r="185">
      <c r="A185" s="72" t="inlineStr">
        <is>
          <t>cmp_model.cmp_inst</t>
        </is>
      </c>
      <c r="B185" s="133" t="n"/>
      <c r="C185" s="111" t="inlineStr">
        <is>
          <t>core_pd.core_pd_inst</t>
        </is>
      </c>
      <c r="D185" s="111" t="inlineStr">
        <is>
          <t>LI_VC_HYS_SEL[2:0]</t>
        </is>
      </c>
      <c r="E185" s="83">
        <f>IF(AND(ISNUMBER(FIND("[",D185)),ISNUMBER(FIND("]",D185)),ISNUMBER(FIND(":",D185))),MID(D185,FIND("[",D185)+1,FIND(":",D185)-FIND("[",D185)-1)+1-MID(D185,FIND(":",D185)+1,FIND("]",D185)-FIND(":",D185)-1),IF(OR(ISNUMBER(FIND("[",D185)),ISNUMBER(FIND("]",D185)),ISNUMBER(FIND(":",D185))),"ERROR",1))</f>
        <v/>
      </c>
      <c r="F185" s="98" t="inlineStr">
        <is>
          <t>I</t>
        </is>
      </c>
      <c r="G185" s="83" t="n"/>
      <c r="H185" s="83" t="inlineStr">
        <is>
          <t>b00</t>
        </is>
      </c>
      <c r="I185" s="93" t="inlineStr">
        <is>
          <t>YES</t>
        </is>
      </c>
      <c r="J185" s="88" t="n"/>
      <c r="K185" s="88" t="n"/>
      <c r="L185" s="88" t="n"/>
      <c r="M185" s="89">
        <f>H185</f>
        <v/>
      </c>
      <c r="N185" s="88" t="n"/>
      <c r="O185" s="88">
        <f>IF(AND(OR(EXACT(F185,"I"),EXACT(F185,"O")),NOT(EXACT(P185,"NA"))),CONCATENATE("c_reg_test_sel_",RIGHT(IF(B185=0,LOOKUP(2,1/($B$2:B185&lt;&gt;0),$B$2:B185),B185),LEN(IF(B185=0,LOOKUP(2,1/($B$2:B185&lt;&gt;0),$B$2:B185),B185))-FIND(".",IF(B185=0,LOOKUP(2,1/($B$2:B185&lt;&gt;0),$B$2:B185),B185))),IF(0,CONCATENATE("&amp; !c_test_reg_pin_disable_",RIGHT(IF(B185=0,LOOKUP(2,1/($B$2:B185&lt;&gt;0),$B$2:B185),B185),LEN(IF(B185=0,LOOKUP(2,1/($B$2:B185&lt;&gt;0),$B$2:B185),B185))-FIND(".",IF(B185=0,LOOKUP(2,1/($B$2:B185&lt;&gt;0),$B$2:B185),B185)))),""),IF(P185,CONCATENATE("_grp_",P185),""),"/","c_pad_",RIGHT(IF(B185=0,LOOKUP(2,1/($B$2:B185&lt;&gt;0),$B$2:B185),B185),LEN(IF(B185=0,LOOKUP(2,1/($B$2:B185&lt;&gt;0),$B$2:B185),B185))-FIND(".",IF(B185=0,LOOKUP(2,1/($B$2:B185&lt;&gt;0),$B$2:B185),B185))),"_",IF(ISNUMBER(SEARCH("[",D185)),LEFT(D185,FIND("[",D185)-1),D185)),"")</f>
        <v/>
      </c>
      <c r="P185" s="90" t="n"/>
      <c r="Q185" s="120" t="inlineStr">
        <is>
          <t>原[1:0] 现[2:0]</t>
        </is>
      </c>
      <c r="R185" s="83" t="inlineStr">
        <is>
          <t xml:space="preserve"> 0x0042</t>
        </is>
      </c>
      <c r="S185" s="83" t="inlineStr">
        <is>
          <t>[3:2]</t>
        </is>
      </c>
      <c r="T185" s="83" t="n"/>
    </row>
    <row r="186" hidden="1" s="26">
      <c r="A186" s="72" t="inlineStr">
        <is>
          <t>cmp_model.cmp_inst</t>
        </is>
      </c>
      <c r="B186" s="134" t="n"/>
      <c r="C186" s="83" t="inlineStr">
        <is>
          <t>core_pd.core_pd_inst</t>
        </is>
      </c>
      <c r="D186" s="83" t="inlineStr">
        <is>
          <t>LO_VC_OUT</t>
        </is>
      </c>
      <c r="E186" s="83">
        <f>IF(AND(ISNUMBER(FIND("[",D186)),ISNUMBER(FIND("]",D186)),ISNUMBER(FIND(":",D186))),MID(D186,FIND("[",D186)+1,FIND(":",D186)-FIND("[",D186)-1)+1-MID(D186,FIND(":",D186)+1,FIND("]",D186)-FIND(":",D186)-1),IF(OR(ISNUMBER(FIND("[",D186)),ISNUMBER(FIND("]",D186)),ISNUMBER(FIND(":",D186))),"ERROR",1))</f>
        <v/>
      </c>
      <c r="F186" s="98" t="inlineStr">
        <is>
          <t>O</t>
        </is>
      </c>
      <c r="G186" s="83" t="n"/>
      <c r="H186" s="83" t="n"/>
      <c r="I186" s="93" t="inlineStr">
        <is>
          <t>YES</t>
        </is>
      </c>
      <c r="J186" s="88" t="n"/>
      <c r="K186" s="88" t="n"/>
      <c r="L186" s="88" t="n"/>
      <c r="M186" s="89">
        <f>H186</f>
        <v/>
      </c>
      <c r="N186" s="88" t="n"/>
      <c r="O186" s="88">
        <f>IF(AND(OR(EXACT(F186,"I"),EXACT(F186,"O")),NOT(EXACT(P186,"NA"))),CONCATENATE("c_reg_test_sel_",RIGHT(IF(B186=0,LOOKUP(2,1/($B$2:B186&lt;&gt;0),$B$2:B186),B186),LEN(IF(B186=0,LOOKUP(2,1/($B$2:B186&lt;&gt;0),$B$2:B186),B186))-FIND(".",IF(B186=0,LOOKUP(2,1/($B$2:B186&lt;&gt;0),$B$2:B186),B186))),IF(0,CONCATENATE("&amp; !c_test_reg_pin_disable_",RIGHT(IF(B186=0,LOOKUP(2,1/($B$2:B186&lt;&gt;0),$B$2:B186),B186),LEN(IF(B186=0,LOOKUP(2,1/($B$2:B186&lt;&gt;0),$B$2:B186),B186))-FIND(".",IF(B186=0,LOOKUP(2,1/($B$2:B186&lt;&gt;0),$B$2:B186),B186)))),""),IF(P186,CONCATENATE("_grp_",P186),""),"/","c_pad_",RIGHT(IF(B186=0,LOOKUP(2,1/($B$2:B186&lt;&gt;0),$B$2:B186),B186),LEN(IF(B186=0,LOOKUP(2,1/($B$2:B186&lt;&gt;0),$B$2:B186),B186))-FIND(".",IF(B186=0,LOOKUP(2,1/($B$2:B186&lt;&gt;0),$B$2:B186),B186))),"_",IF(ISNUMBER(SEARCH("[",D186)),LEFT(D186,FIND("[",D186)-1),D186)),"")</f>
        <v/>
      </c>
      <c r="P186" s="90" t="n"/>
      <c r="Q186" s="83" t="n"/>
      <c r="R186" s="91" t="inlineStr">
        <is>
          <t>0x0043</t>
        </is>
      </c>
      <c r="S186" s="83" t="n"/>
      <c r="T186" s="83" t="n"/>
    </row>
    <row r="187" hidden="1" s="26">
      <c r="A187" s="72" t="inlineStr">
        <is>
          <t>pga_model.pga_inst</t>
        </is>
      </c>
      <c r="B187" s="83" t="inlineStr">
        <is>
          <t>pga_model.pga_inst</t>
        </is>
      </c>
      <c r="C187" s="83" t="inlineStr">
        <is>
          <t>TOP:pmu_inst_V12M</t>
        </is>
      </c>
      <c r="D187" s="83" t="inlineStr">
        <is>
          <t>VDD</t>
        </is>
      </c>
      <c r="E187" s="83">
        <f>IF(AND(ISNUMBER(FIND("[",D187)),ISNUMBER(FIND("]",D187)),ISNUMBER(FIND(":",D187))),MID(D187,FIND("[",D187)+1,FIND(":",D187)-FIND("[",D187)-1)+1-MID(D187,FIND(":",D187)+1,FIND("]",D187)-FIND(":",D187)-1),IF(OR(ISNUMBER(FIND("[",D187)),ISNUMBER(FIND("]",D187)),ISNUMBER(FIND(":",D187))),"ERROR",1))</f>
        <v/>
      </c>
      <c r="F187" s="98" t="inlineStr">
        <is>
          <t>P</t>
        </is>
      </c>
      <c r="G187" s="83" t="n"/>
      <c r="H187" s="83" t="n"/>
      <c r="I187" s="102" t="n"/>
      <c r="M187" s="72" t="n"/>
      <c r="P187" s="72" t="n"/>
      <c r="Q187" s="102" t="inlineStr">
        <is>
          <t>Digital 1.5V power supply</t>
        </is>
      </c>
      <c r="R187" s="83" t="n"/>
      <c r="S187" s="83" t="n"/>
      <c r="T187" s="83" t="n"/>
    </row>
    <row r="188" hidden="1" s="26">
      <c r="A188" s="72" t="inlineStr">
        <is>
          <t>pga_model.pga_inst</t>
        </is>
      </c>
      <c r="B188" s="133" t="n"/>
      <c r="C188" s="83" t="inlineStr">
        <is>
          <t>TOP:VCC5V</t>
        </is>
      </c>
      <c r="D188" s="83" t="inlineStr">
        <is>
          <t>AVCC</t>
        </is>
      </c>
      <c r="E188" s="83">
        <f>IF(AND(ISNUMBER(FIND("[",D188)),ISNUMBER(FIND("]",D188)),ISNUMBER(FIND(":",D188))),MID(D188,FIND("[",D188)+1,FIND(":",D188)-FIND("[",D188)-1)+1-MID(D188,FIND(":",D188)+1,FIND("]",D188)-FIND(":",D188)-1),IF(OR(ISNUMBER(FIND("[",D188)),ISNUMBER(FIND("]",D188)),ISNUMBER(FIND(":",D188))),"ERROR",1))</f>
        <v/>
      </c>
      <c r="F188" s="98" t="inlineStr">
        <is>
          <t>P</t>
        </is>
      </c>
      <c r="G188" s="93" t="inlineStr">
        <is>
          <t>5V</t>
        </is>
      </c>
      <c r="H188" s="83" t="n"/>
      <c r="I188" s="83" t="n"/>
      <c r="M188" s="72" t="n"/>
      <c r="P188" s="72" t="n"/>
      <c r="Q188" s="83" t="inlineStr">
        <is>
          <t>除驱动管以外的5V供电</t>
        </is>
      </c>
      <c r="R188" s="83" t="n"/>
      <c r="S188" s="83" t="n"/>
      <c r="T188" s="83" t="n"/>
    </row>
    <row r="189" hidden="1" s="26">
      <c r="A189" s="72" t="inlineStr">
        <is>
          <t>pga_model.pga_inst</t>
        </is>
      </c>
      <c r="B189" s="133" t="n"/>
      <c r="C189" s="83" t="inlineStr">
        <is>
          <t>TOP:VSSA</t>
        </is>
      </c>
      <c r="D189" s="83" t="inlineStr">
        <is>
          <t>AVSS</t>
        </is>
      </c>
      <c r="E189" s="83">
        <f>IF(AND(ISNUMBER(FIND("[",D189)),ISNUMBER(FIND("]",D189)),ISNUMBER(FIND(":",D189))),MID(D189,FIND("[",D189)+1,FIND(":",D189)-FIND("[",D189)-1)+1-MID(D189,FIND(":",D189)+1,FIND("]",D189)-FIND(":",D189)-1),IF(OR(ISNUMBER(FIND("[",D189)),ISNUMBER(FIND("]",D189)),ISNUMBER(FIND(":",D189))),"ERROR",1))</f>
        <v/>
      </c>
      <c r="F189" s="98" t="inlineStr">
        <is>
          <t>G</t>
        </is>
      </c>
      <c r="G189" s="83" t="n"/>
      <c r="H189" s="83" t="n"/>
      <c r="I189" s="83" t="n"/>
      <c r="M189" s="72" t="n"/>
      <c r="P189" s="72" t="n"/>
      <c r="Q189" s="83" t="inlineStr">
        <is>
          <t>单独给驱动管供电</t>
        </is>
      </c>
      <c r="R189" s="83" t="n"/>
      <c r="S189" s="83" t="n"/>
      <c r="T189" s="83" t="n"/>
    </row>
    <row r="190" hidden="1" s="26">
      <c r="A190" s="72" t="inlineStr">
        <is>
          <t>pga_model.pga_inst</t>
        </is>
      </c>
      <c r="B190" s="133" t="n"/>
      <c r="C190" s="83" t="inlineStr">
        <is>
          <t>TOP:VCC5V</t>
        </is>
      </c>
      <c r="D190" s="83" t="inlineStr">
        <is>
          <t>PVCC</t>
        </is>
      </c>
      <c r="E190" s="83">
        <f>IF(AND(ISNUMBER(FIND("[",D190)),ISNUMBER(FIND("]",D190)),ISNUMBER(FIND(":",D190))),MID(D190,FIND("[",D190)+1,FIND(":",D190)-FIND("[",D190)-1)+1-MID(D190,FIND(":",D190)+1,FIND("]",D190)-FIND(":",D190)-1),IF(OR(ISNUMBER(FIND("[",D190)),ISNUMBER(FIND("]",D190)),ISNUMBER(FIND(":",D190))),"ERROR",1))</f>
        <v/>
      </c>
      <c r="F190" s="98" t="inlineStr">
        <is>
          <t>P</t>
        </is>
      </c>
      <c r="G190" s="93" t="inlineStr">
        <is>
          <t>5V</t>
        </is>
      </c>
      <c r="H190" s="83" t="n"/>
      <c r="I190" s="83" t="n"/>
      <c r="M190" s="72" t="n"/>
      <c r="P190" s="72" t="n"/>
      <c r="Q190" s="83" t="inlineStr">
        <is>
          <t>除驱动管以外的地线</t>
        </is>
      </c>
      <c r="R190" s="83" t="n"/>
      <c r="S190" s="83" t="n"/>
      <c r="T190" s="83" t="n"/>
    </row>
    <row r="191" hidden="1" s="26">
      <c r="A191" s="72" t="inlineStr">
        <is>
          <t>pga_model.pga_inst</t>
        </is>
      </c>
      <c r="B191" s="133" t="n"/>
      <c r="C191" s="83" t="inlineStr">
        <is>
          <t>TOP:VSSD</t>
        </is>
      </c>
      <c r="D191" s="83" t="inlineStr">
        <is>
          <t>PVSS</t>
        </is>
      </c>
      <c r="E191" s="83">
        <f>IF(AND(ISNUMBER(FIND("[",D191)),ISNUMBER(FIND("]",D191)),ISNUMBER(FIND(":",D191))),MID(D191,FIND("[",D191)+1,FIND(":",D191)-FIND("[",D191)-1)+1-MID(D191,FIND(":",D191)+1,FIND("]",D191)-FIND(":",D191)-1),IF(OR(ISNUMBER(FIND("[",D191)),ISNUMBER(FIND("]",D191)),ISNUMBER(FIND(":",D191))),"ERROR",1))</f>
        <v/>
      </c>
      <c r="F191" s="98" t="inlineStr">
        <is>
          <t>G</t>
        </is>
      </c>
      <c r="G191" s="83" t="n"/>
      <c r="H191" s="83" t="n"/>
      <c r="I191" s="83" t="n"/>
      <c r="M191" s="72" t="n"/>
      <c r="P191" s="72" t="n"/>
      <c r="Q191" s="83" t="inlineStr">
        <is>
          <t>驱动管地线</t>
        </is>
      </c>
      <c r="R191" s="83" t="n"/>
      <c r="S191" s="83" t="n"/>
      <c r="T191" s="83" t="n"/>
    </row>
    <row r="192" hidden="1" s="26">
      <c r="A192" s="72" t="inlineStr">
        <is>
          <t>pga_model.pga_inst</t>
        </is>
      </c>
      <c r="B192" s="133" t="n"/>
      <c r="C192" s="111" t="inlineStr">
        <is>
          <t>PA5:</t>
        </is>
      </c>
      <c r="D192" s="83" t="inlineStr">
        <is>
          <t>AI_PGA_VIP</t>
        </is>
      </c>
      <c r="E192" s="83">
        <f>IF(AND(ISNUMBER(FIND("[",D192)),ISNUMBER(FIND("]",D192)),ISNUMBER(FIND(":",D192))),MID(D192,FIND("[",D192)+1,FIND(":",D192)-FIND("[",D192)-1)+1-MID(D192,FIND(":",D192)+1,FIND("]",D192)-FIND(":",D192)-1),IF(OR(ISNUMBER(FIND("[",D192)),ISNUMBER(FIND("]",D192)),ISNUMBER(FIND(":",D192))),"ERROR",1))</f>
        <v/>
      </c>
      <c r="F192" s="98" t="inlineStr">
        <is>
          <t>A</t>
        </is>
      </c>
      <c r="G192" s="83" t="n"/>
      <c r="H192" s="83" t="n"/>
      <c r="I192" s="83" t="n"/>
      <c r="M192" s="72" t="n"/>
      <c r="P192" s="72" t="n"/>
      <c r="Q192" s="83" t="inlineStr">
        <is>
          <t>OPA正端输入</t>
        </is>
      </c>
      <c r="R192" s="83" t="n"/>
      <c r="S192" s="83" t="n"/>
      <c r="T192" s="83" t="n"/>
    </row>
    <row r="193" hidden="1" s="26">
      <c r="A193" s="72" t="inlineStr">
        <is>
          <t>pga_model.pga_inst</t>
        </is>
      </c>
      <c r="B193" s="133" t="n"/>
      <c r="C193" s="111" t="inlineStr">
        <is>
          <t>PA4:</t>
        </is>
      </c>
      <c r="D193" s="83" t="inlineStr">
        <is>
          <t>AI_PGA_VIN</t>
        </is>
      </c>
      <c r="E193" s="83">
        <f>IF(AND(ISNUMBER(FIND("[",D193)),ISNUMBER(FIND("]",D193)),ISNUMBER(FIND(":",D193))),MID(D193,FIND("[",D193)+1,FIND(":",D193)-FIND("[",D193)-1)+1-MID(D193,FIND(":",D193)+1,FIND("]",D193)-FIND(":",D193)-1),IF(OR(ISNUMBER(FIND("[",D193)),ISNUMBER(FIND("]",D193)),ISNUMBER(FIND(":",D193))),"ERROR",1))</f>
        <v/>
      </c>
      <c r="F193" s="119" t="inlineStr">
        <is>
          <t>A</t>
        </is>
      </c>
      <c r="G193" s="83" t="n"/>
      <c r="H193" s="83" t="n"/>
      <c r="I193" s="83" t="n"/>
      <c r="M193" s="72" t="n"/>
      <c r="P193" s="72" t="n"/>
      <c r="Q193" s="83" t="inlineStr">
        <is>
          <t>OPA负端输入</t>
        </is>
      </c>
      <c r="R193" s="83" t="n"/>
      <c r="S193" s="83" t="n"/>
      <c r="T193" s="83" t="n"/>
    </row>
    <row r="194" hidden="1" s="26">
      <c r="A194" s="72" t="inlineStr">
        <is>
          <t>pga_model.pga_inst</t>
        </is>
      </c>
      <c r="B194" s="133" t="n"/>
      <c r="C194" s="83" t="inlineStr">
        <is>
          <t>TOP:pmu_inst_Ibias_1u[0]</t>
        </is>
      </c>
      <c r="D194" s="83" t="inlineStr">
        <is>
          <t>AI_IN_1U</t>
        </is>
      </c>
      <c r="E194" s="83">
        <f>IF(AND(ISNUMBER(FIND("[",D194)),ISNUMBER(FIND("]",D194)),ISNUMBER(FIND(":",D194))),MID(D194,FIND("[",D194)+1,FIND(":",D194)-FIND("[",D194)-1)+1-MID(D194,FIND(":",D194)+1,FIND("]",D194)-FIND(":",D194)-1),IF(OR(ISNUMBER(FIND("[",D194)),ISNUMBER(FIND("]",D194)),ISNUMBER(FIND(":",D194))),"ERROR",1))</f>
        <v/>
      </c>
      <c r="F194" s="98" t="inlineStr">
        <is>
          <t>A</t>
        </is>
      </c>
      <c r="G194" s="83" t="n"/>
      <c r="H194" s="83" t="n"/>
      <c r="I194" s="83" t="n"/>
      <c r="M194" s="72" t="n"/>
      <c r="P194" s="72" t="n"/>
      <c r="Q194" s="83" t="inlineStr">
        <is>
          <t>ZTAT电流</t>
        </is>
      </c>
      <c r="R194" s="83" t="n"/>
      <c r="S194" s="83" t="n"/>
      <c r="T194" s="83" t="n"/>
    </row>
    <row r="195" hidden="1" s="26">
      <c r="A195" s="72" t="inlineStr">
        <is>
          <t>pga_model.pga_inst</t>
        </is>
      </c>
      <c r="B195" s="133" t="n"/>
      <c r="C195" s="83" t="inlineStr">
        <is>
          <t>TOP:pga_inst_POC_INI</t>
        </is>
      </c>
      <c r="D195" s="83" t="inlineStr">
        <is>
          <t>POC_INI</t>
        </is>
      </c>
      <c r="E195" s="83">
        <f>IF(AND(ISNUMBER(FIND("[",D195)),ISNUMBER(FIND("]",D195)),ISNUMBER(FIND(":",D195))),MID(D195,FIND("[",D195)+1,FIND(":",D195)-FIND("[",D195)-1)+1-MID(D195,FIND(":",D195)+1,FIND("]",D195)-FIND(":",D195)-1),IF(OR(ISNUMBER(FIND("[",D195)),ISNUMBER(FIND("]",D195)),ISNUMBER(FIND(":",D195))),"ERROR",1))</f>
        <v/>
      </c>
      <c r="F195" s="98" t="inlineStr">
        <is>
          <t>A</t>
        </is>
      </c>
      <c r="G195" s="83" t="n"/>
      <c r="H195" s="83" t="n"/>
      <c r="I195" s="83" t="n"/>
      <c r="M195" s="72" t="n"/>
      <c r="P195" s="72" t="n"/>
      <c r="Q195" s="122" t="inlineStr">
        <is>
          <t>POR逻辑取反，即POC_VCC5为低电平复位，高电平释放。</t>
        </is>
      </c>
      <c r="R195" s="83" t="n"/>
      <c r="S195" s="83" t="n"/>
      <c r="T195" s="83" t="n"/>
    </row>
    <row r="196">
      <c r="A196" s="72" t="inlineStr">
        <is>
          <t>pga_model.pga_inst</t>
        </is>
      </c>
      <c r="B196" s="133" t="n"/>
      <c r="C196" s="83" t="inlineStr">
        <is>
          <t>core_pd.core_pd_inst</t>
        </is>
      </c>
      <c r="D196" s="83" t="inlineStr">
        <is>
          <t>LI_PGA_BIAS_SEL[2:0]</t>
        </is>
      </c>
      <c r="E196" s="83">
        <f>IF(AND(ISNUMBER(FIND("[",D196)),ISNUMBER(FIND("]",D196)),ISNUMBER(FIND(":",D196))),MID(D196,FIND("[",D196)+1,FIND(":",D196)-FIND("[",D196)-1)+1-MID(D196,FIND(":",D196)+1,FIND("]",D196)-FIND(":",D196)-1),IF(OR(ISNUMBER(FIND("[",D196)),ISNUMBER(FIND("]",D196)),ISNUMBER(FIND(":",D196))),"ERROR",1))</f>
        <v/>
      </c>
      <c r="F196" s="98" t="inlineStr">
        <is>
          <t>I</t>
        </is>
      </c>
      <c r="G196" s="83" t="n"/>
      <c r="H196" s="83" t="inlineStr">
        <is>
          <t>b011</t>
        </is>
      </c>
      <c r="I196" s="93" t="inlineStr">
        <is>
          <t>YES</t>
        </is>
      </c>
      <c r="J196" s="88" t="n"/>
      <c r="K196" s="88" t="n"/>
      <c r="L196" s="88" t="n"/>
      <c r="M196" s="89">
        <f>H196</f>
        <v/>
      </c>
      <c r="N196" s="88" t="n"/>
      <c r="O196" s="88">
        <f>IF(AND(OR(EXACT(F196,"I"),EXACT(F196,"O")),NOT(EXACT(P196,"NA"))),CONCATENATE("c_reg_test_sel_",RIGHT(IF(B196=0,LOOKUP(2,1/($B$2:B196&lt;&gt;0),$B$2:B196),B196),LEN(IF(B196=0,LOOKUP(2,1/($B$2:B196&lt;&gt;0),$B$2:B196),B196))-FIND(".",IF(B196=0,LOOKUP(2,1/($B$2:B196&lt;&gt;0),$B$2:B196),B196))),IF(0,CONCATENATE("&amp; !c_test_reg_pin_disable_",RIGHT(IF(B196=0,LOOKUP(2,1/($B$2:B196&lt;&gt;0),$B$2:B196),B196),LEN(IF(B196=0,LOOKUP(2,1/($B$2:B196&lt;&gt;0),$B$2:B196),B196))-FIND(".",IF(B196=0,LOOKUP(2,1/($B$2:B196&lt;&gt;0),$B$2:B196),B196)))),""),IF(P196,CONCATENATE("_grp_",P196),""),"/","c_pad_",RIGHT(IF(B196=0,LOOKUP(2,1/($B$2:B196&lt;&gt;0),$B$2:B196),B196),LEN(IF(B196=0,LOOKUP(2,1/($B$2:B196&lt;&gt;0),$B$2:B196),B196))-FIND(".",IF(B196=0,LOOKUP(2,1/($B$2:B196&lt;&gt;0),$B$2:B196),B196))),"_",IF(ISNUMBER(SEARCH("[",D196)),LEFT(D196,FIND("[",D196)-1),D196)),"")</f>
        <v/>
      </c>
      <c r="P196" s="90" t="n"/>
      <c r="Q196" s="83" t="inlineStr">
        <is>
          <t>默认值3'b011</t>
        </is>
      </c>
      <c r="R196" s="83" t="inlineStr">
        <is>
          <t xml:space="preserve"> 0x0044</t>
        </is>
      </c>
      <c r="S196" s="83" t="inlineStr">
        <is>
          <t>[2:0]</t>
        </is>
      </c>
      <c r="T196" s="83" t="n"/>
    </row>
    <row r="197">
      <c r="A197" s="72" t="inlineStr">
        <is>
          <t>pga_model.pga_inst</t>
        </is>
      </c>
      <c r="B197" s="133" t="n"/>
      <c r="C197" s="83" t="inlineStr">
        <is>
          <t>core_pd.core_pd_inst</t>
        </is>
      </c>
      <c r="D197" s="83" t="inlineStr">
        <is>
          <t>LI_PGA_EN</t>
        </is>
      </c>
      <c r="E197" s="83">
        <f>IF(AND(ISNUMBER(FIND("[",D197)),ISNUMBER(FIND("]",D197)),ISNUMBER(FIND(":",D197))),MID(D197,FIND("[",D197)+1,FIND(":",D197)-FIND("[",D197)-1)+1-MID(D197,FIND(":",D197)+1,FIND("]",D197)-FIND(":",D197)-1),IF(OR(ISNUMBER(FIND("[",D197)),ISNUMBER(FIND("]",D197)),ISNUMBER(FIND(":",D197))),"ERROR",1))</f>
        <v/>
      </c>
      <c r="F197" s="98" t="inlineStr">
        <is>
          <t>I</t>
        </is>
      </c>
      <c r="G197" s="83" t="n"/>
      <c r="H197" s="83" t="inlineStr">
        <is>
          <t>b0</t>
        </is>
      </c>
      <c r="I197" s="93" t="inlineStr">
        <is>
          <t>YES</t>
        </is>
      </c>
      <c r="J197" s="88" t="n"/>
      <c r="K197" s="88" t="n"/>
      <c r="L197" s="88" t="n"/>
      <c r="M197" s="89">
        <f>H197</f>
        <v/>
      </c>
      <c r="N197" s="88" t="n"/>
      <c r="O197" s="88">
        <f>IF(AND(OR(EXACT(F197,"I"),EXACT(F197,"O")),NOT(EXACT(P197,"NA"))),CONCATENATE("c_reg_test_sel_",RIGHT(IF(B197=0,LOOKUP(2,1/($B$2:B197&lt;&gt;0),$B$2:B197),B197),LEN(IF(B197=0,LOOKUP(2,1/($B$2:B197&lt;&gt;0),$B$2:B197),B197))-FIND(".",IF(B197=0,LOOKUP(2,1/($B$2:B197&lt;&gt;0),$B$2:B197),B197))),IF(0,CONCATENATE("&amp; !c_test_reg_pin_disable_",RIGHT(IF(B197=0,LOOKUP(2,1/($B$2:B197&lt;&gt;0),$B$2:B197),B197),LEN(IF(B197=0,LOOKUP(2,1/($B$2:B197&lt;&gt;0),$B$2:B197),B197))-FIND(".",IF(B197=0,LOOKUP(2,1/($B$2:B197&lt;&gt;0),$B$2:B197),B197)))),""),IF(P197,CONCATENATE("_grp_",P197),""),"/","c_pad_",RIGHT(IF(B197=0,LOOKUP(2,1/($B$2:B197&lt;&gt;0),$B$2:B197),B197),LEN(IF(B197=0,LOOKUP(2,1/($B$2:B197&lt;&gt;0),$B$2:B197),B197))-FIND(".",IF(B197=0,LOOKUP(2,1/($B$2:B197&lt;&gt;0),$B$2:B197),B197))),"_",IF(ISNUMBER(SEARCH("[",D197)),LEFT(D197,FIND("[",D197)-1),D197)),"")</f>
        <v/>
      </c>
      <c r="P197" s="90" t="n"/>
      <c r="Q197" s="83" t="inlineStr">
        <is>
          <t>1‘b1使能，1'b0关闭</t>
        </is>
      </c>
      <c r="R197" s="83" t="inlineStr">
        <is>
          <t xml:space="preserve"> 0x0046</t>
        </is>
      </c>
      <c r="S197" s="83" t="inlineStr">
        <is>
          <t>[0]</t>
        </is>
      </c>
      <c r="T197" s="83" t="n"/>
    </row>
    <row r="198">
      <c r="A198" s="72" t="inlineStr">
        <is>
          <t>pga_model.pga_inst</t>
        </is>
      </c>
      <c r="B198" s="133" t="n"/>
      <c r="C198" s="83" t="inlineStr">
        <is>
          <t>core_pd.core_pd_inst</t>
        </is>
      </c>
      <c r="D198" s="83" t="inlineStr">
        <is>
          <t>LI_PGA_GAIN[1:0]</t>
        </is>
      </c>
      <c r="E198" s="83">
        <f>IF(AND(ISNUMBER(FIND("[",D198)),ISNUMBER(FIND("]",D198)),ISNUMBER(FIND(":",D198))),MID(D198,FIND("[",D198)+1,FIND(":",D198)-FIND("[",D198)-1)+1-MID(D198,FIND(":",D198)+1,FIND("]",D198)-FIND(":",D198)-1),IF(OR(ISNUMBER(FIND("[",D198)),ISNUMBER(FIND("]",D198)),ISNUMBER(FIND(":",D198))),"ERROR",1))</f>
        <v/>
      </c>
      <c r="F198" s="98" t="inlineStr">
        <is>
          <t>I</t>
        </is>
      </c>
      <c r="G198" s="83" t="n"/>
      <c r="H198" s="83" t="inlineStr">
        <is>
          <t>b00</t>
        </is>
      </c>
      <c r="I198" s="93" t="inlineStr">
        <is>
          <t>YES</t>
        </is>
      </c>
      <c r="J198" s="88" t="n"/>
      <c r="K198" s="88" t="n"/>
      <c r="L198" s="88" t="n"/>
      <c r="M198" s="89">
        <f>H198</f>
        <v/>
      </c>
      <c r="N198" s="88" t="n"/>
      <c r="O198" s="88">
        <f>IF(AND(OR(EXACT(F198,"I"),EXACT(F198,"O")),NOT(EXACT(P198,"NA"))),CONCATENATE("c_reg_test_sel_",RIGHT(IF(B198=0,LOOKUP(2,1/($B$2:B198&lt;&gt;0),$B$2:B198),B198),LEN(IF(B198=0,LOOKUP(2,1/($B$2:B198&lt;&gt;0),$B$2:B198),B198))-FIND(".",IF(B198=0,LOOKUP(2,1/($B$2:B198&lt;&gt;0),$B$2:B198),B198))),IF(0,CONCATENATE("&amp; !c_test_reg_pin_disable_",RIGHT(IF(B198=0,LOOKUP(2,1/($B$2:B198&lt;&gt;0),$B$2:B198),B198),LEN(IF(B198=0,LOOKUP(2,1/($B$2:B198&lt;&gt;0),$B$2:B198),B198))-FIND(".",IF(B198=0,LOOKUP(2,1/($B$2:B198&lt;&gt;0),$B$2:B198),B198)))),""),IF(P198,CONCATENATE("_grp_",P198),""),"/","c_pad_",RIGHT(IF(B198=0,LOOKUP(2,1/($B$2:B198&lt;&gt;0),$B$2:B198),B198),LEN(IF(B198=0,LOOKUP(2,1/($B$2:B198&lt;&gt;0),$B$2:B198),B198))-FIND(".",IF(B198=0,LOOKUP(2,1/($B$2:B198&lt;&gt;0),$B$2:B198),B198))),"_",IF(ISNUMBER(SEARCH("[",D198)),LEFT(D198,FIND("[",D198)-1),D198)),"")</f>
        <v/>
      </c>
      <c r="P198" s="90" t="n"/>
      <c r="Q198" s="83" t="inlineStr">
        <is>
          <t>2’b00:10, 2'b01:20, 2'b10:40, 2'b11:60;</t>
        </is>
      </c>
      <c r="R198" s="83" t="inlineStr">
        <is>
          <t xml:space="preserve"> 0x0045</t>
        </is>
      </c>
      <c r="S198" s="83" t="inlineStr">
        <is>
          <t>[1:0]</t>
        </is>
      </c>
      <c r="T198" s="83" t="n"/>
    </row>
    <row r="199">
      <c r="A199" s="72" t="inlineStr">
        <is>
          <t>pga_model.pga_inst</t>
        </is>
      </c>
      <c r="B199" s="133" t="n"/>
      <c r="C199" s="83" t="inlineStr">
        <is>
          <t>core_pd.core_pd_inst</t>
        </is>
      </c>
      <c r="D199" s="83" t="inlineStr">
        <is>
          <t>LI_CAL_EN</t>
        </is>
      </c>
      <c r="E199" s="83">
        <f>IF(AND(ISNUMBER(FIND("[",D199)),ISNUMBER(FIND("]",D199)),ISNUMBER(FIND(":",D199))),MID(D199,FIND("[",D199)+1,FIND(":",D199)-FIND("[",D199)-1)+1-MID(D199,FIND(":",D199)+1,FIND("]",D199)-FIND(":",D199)-1),IF(OR(ISNUMBER(FIND("[",D199)),ISNUMBER(FIND("]",D199)),ISNUMBER(FIND(":",D199))),"ERROR",1))</f>
        <v/>
      </c>
      <c r="F199" s="98" t="inlineStr">
        <is>
          <t>I</t>
        </is>
      </c>
      <c r="G199" s="83" t="n"/>
      <c r="H199" s="83" t="inlineStr">
        <is>
          <t>b0</t>
        </is>
      </c>
      <c r="I199" s="93" t="inlineStr">
        <is>
          <t>YES</t>
        </is>
      </c>
      <c r="J199" s="88" t="n"/>
      <c r="K199" s="88" t="n"/>
      <c r="L199" s="88" t="n"/>
      <c r="M199" s="89">
        <f>H199</f>
        <v/>
      </c>
      <c r="N199" s="88" t="n"/>
      <c r="O199" s="88">
        <f>IF(AND(OR(EXACT(F199,"I"),EXACT(F199,"O")),NOT(EXACT(P199,"NA"))),CONCATENATE("c_reg_test_sel_",RIGHT(IF(B199=0,LOOKUP(2,1/($B$2:B199&lt;&gt;0),$B$2:B199),B199),LEN(IF(B199=0,LOOKUP(2,1/($B$2:B199&lt;&gt;0),$B$2:B199),B199))-FIND(".",IF(B199=0,LOOKUP(2,1/($B$2:B199&lt;&gt;0),$B$2:B199),B199))),IF(0,CONCATENATE("&amp; !c_test_reg_pin_disable_",RIGHT(IF(B199=0,LOOKUP(2,1/($B$2:B199&lt;&gt;0),$B$2:B199),B199),LEN(IF(B199=0,LOOKUP(2,1/($B$2:B199&lt;&gt;0),$B$2:B199),B199))-FIND(".",IF(B199=0,LOOKUP(2,1/($B$2:B199&lt;&gt;0),$B$2:B199),B199)))),""),IF(P199,CONCATENATE("_grp_",P199),""),"/","c_pad_",RIGHT(IF(B199=0,LOOKUP(2,1/($B$2:B199&lt;&gt;0),$B$2:B199),B199),LEN(IF(B199=0,LOOKUP(2,1/($B$2:B199&lt;&gt;0),$B$2:B199),B199))-FIND(".",IF(B199=0,LOOKUP(2,1/($B$2:B199&lt;&gt;0),$B$2:B199),B199))),"_",IF(ISNUMBER(SEARCH("[",D199)),LEFT(D199,FIND("[",D199)-1),D199)),"")</f>
        <v/>
      </c>
      <c r="P199" s="90" t="n"/>
      <c r="Q199" s="83" t="inlineStr">
        <is>
          <t>1‘b1使能，1'b0关闭</t>
        </is>
      </c>
      <c r="R199" s="83" t="inlineStr">
        <is>
          <t xml:space="preserve"> 0x0047</t>
        </is>
      </c>
      <c r="S199" s="83" t="inlineStr">
        <is>
          <t>[0]</t>
        </is>
      </c>
      <c r="T199" s="83" t="n"/>
    </row>
    <row r="200">
      <c r="A200" s="72" t="inlineStr">
        <is>
          <t>pga_model.pga_inst</t>
        </is>
      </c>
      <c r="B200" s="133" t="n"/>
      <c r="C200" s="83" t="inlineStr">
        <is>
          <t>core_pd.core_pd_inst</t>
        </is>
      </c>
      <c r="D200" s="83" t="inlineStr">
        <is>
          <t>LI_CAL_SEL[1:0]</t>
        </is>
      </c>
      <c r="E200" s="83">
        <f>IF(AND(ISNUMBER(FIND("[",D200)),ISNUMBER(FIND("]",D200)),ISNUMBER(FIND(":",D200))),MID(D200,FIND("[",D200)+1,FIND(":",D200)-FIND("[",D200)-1)+1-MID(D200,FIND(":",D200)+1,FIND("]",D200)-FIND(":",D200)-1),IF(OR(ISNUMBER(FIND("[",D200)),ISNUMBER(FIND("]",D200)),ISNUMBER(FIND(":",D200))),"ERROR",1))</f>
        <v/>
      </c>
      <c r="F200" s="98" t="inlineStr">
        <is>
          <t>I</t>
        </is>
      </c>
      <c r="G200" s="83" t="n"/>
      <c r="H200" s="83" t="inlineStr">
        <is>
          <t>b00</t>
        </is>
      </c>
      <c r="I200" s="93" t="inlineStr">
        <is>
          <t>YES</t>
        </is>
      </c>
      <c r="J200" s="88" t="n"/>
      <c r="K200" s="88" t="n"/>
      <c r="L200" s="88" t="n"/>
      <c r="M200" s="89">
        <f>H200</f>
        <v/>
      </c>
      <c r="N200" s="88" t="n"/>
      <c r="O200" s="88">
        <f>IF(AND(OR(EXACT(F200,"I"),EXACT(F200,"O")),NOT(EXACT(P200,"NA"))),CONCATENATE("c_reg_test_sel_",RIGHT(IF(B200=0,LOOKUP(2,1/($B$2:B200&lt;&gt;0),$B$2:B200),B200),LEN(IF(B200=0,LOOKUP(2,1/($B$2:B200&lt;&gt;0),$B$2:B200),B200))-FIND(".",IF(B200=0,LOOKUP(2,1/($B$2:B200&lt;&gt;0),$B$2:B200),B200))),IF(0,CONCATENATE("&amp; !c_test_reg_pin_disable_",RIGHT(IF(B200=0,LOOKUP(2,1/($B$2:B200&lt;&gt;0),$B$2:B200),B200),LEN(IF(B200=0,LOOKUP(2,1/($B$2:B200&lt;&gt;0),$B$2:B200),B200))-FIND(".",IF(B200=0,LOOKUP(2,1/($B$2:B200&lt;&gt;0),$B$2:B200),B200)))),""),IF(P200,CONCATENATE("_grp_",P200),""),"/","c_pad_",RIGHT(IF(B200=0,LOOKUP(2,1/($B$2:B200&lt;&gt;0),$B$2:B200),B200),LEN(IF(B200=0,LOOKUP(2,1/($B$2:B200&lt;&gt;0),$B$2:B200),B200))-FIND(".",IF(B200=0,LOOKUP(2,1/($B$2:B200&lt;&gt;0),$B$2:B200),B200))),"_",IF(ISNUMBER(SEARCH("[",D200)),LEFT(D200,FIND("[",D200)-1),D200)),"")</f>
        <v/>
      </c>
      <c r="P200" s="90" t="n"/>
      <c r="Q200" s="83" t="inlineStr">
        <is>
          <t>2’b00:3%AVCC, 2'b01:10%AVCC, 2'b10:50%AVCC, 2'b11:90%AVCC;</t>
        </is>
      </c>
      <c r="R200" s="83" t="inlineStr">
        <is>
          <t xml:space="preserve"> 0x0047</t>
        </is>
      </c>
      <c r="S200" s="83" t="inlineStr">
        <is>
          <t>[2:1]</t>
        </is>
      </c>
      <c r="T200" s="83" t="n"/>
    </row>
    <row r="201">
      <c r="A201" s="72" t="inlineStr">
        <is>
          <t>pga_model.pga_inst</t>
        </is>
      </c>
      <c r="B201" s="133" t="n"/>
      <c r="C201" s="83" t="inlineStr">
        <is>
          <t>core_pd.core_pd_inst</t>
        </is>
      </c>
      <c r="D201" s="77" t="inlineStr">
        <is>
          <t>LI_TRIM_OFFSETN[5:0]</t>
        </is>
      </c>
      <c r="E201" s="83">
        <f>IF(AND(ISNUMBER(FIND("[",D201)),ISNUMBER(FIND("]",D201)),ISNUMBER(FIND(":",D201))),MID(D201,FIND("[",D201)+1,FIND(":",D201)-FIND("[",D201)-1)+1-MID(D201,FIND(":",D201)+1,FIND("]",D201)-FIND(":",D201)-1),IF(OR(ISNUMBER(FIND("[",D201)),ISNUMBER(FIND("]",D201)),ISNUMBER(FIND(":",D201))),"ERROR",1))</f>
        <v/>
      </c>
      <c r="F201" s="98" t="inlineStr">
        <is>
          <t>I</t>
        </is>
      </c>
      <c r="G201" s="83" t="n"/>
      <c r="H201" s="83" t="inlineStr">
        <is>
          <t>b000000</t>
        </is>
      </c>
      <c r="I201" s="93" t="inlineStr">
        <is>
          <t>YES</t>
        </is>
      </c>
      <c r="J201" s="88" t="n"/>
      <c r="K201" s="88" t="n"/>
      <c r="L201" s="88" t="n"/>
      <c r="M201" s="89">
        <f>H201</f>
        <v/>
      </c>
      <c r="N201" s="88" t="n"/>
      <c r="O201" s="88">
        <f>IF(AND(OR(EXACT(F201,"I"),EXACT(F201,"O")),NOT(EXACT(P201,"NA"))),CONCATENATE("c_reg_test_sel_",RIGHT(IF(B201=0,LOOKUP(2,1/($B$2:B201&lt;&gt;0),$B$2:B201),B201),LEN(IF(B201=0,LOOKUP(2,1/($B$2:B201&lt;&gt;0),$B$2:B201),B201))-FIND(".",IF(B201=0,LOOKUP(2,1/($B$2:B201&lt;&gt;0),$B$2:B201),B201))),IF(0,CONCATENATE("&amp; !c_test_reg_pin_disable_",RIGHT(IF(B201=0,LOOKUP(2,1/($B$2:B201&lt;&gt;0),$B$2:B201),B201),LEN(IF(B201=0,LOOKUP(2,1/($B$2:B201&lt;&gt;0),$B$2:B201),B201))-FIND(".",IF(B201=0,LOOKUP(2,1/($B$2:B201&lt;&gt;0),$B$2:B201),B201)))),""),IF(P201,CONCATENATE("_grp_",P201),""),"/","c_pad_",RIGHT(IF(B201=0,LOOKUP(2,1/($B$2:B201&lt;&gt;0),$B$2:B201),B201),LEN(IF(B201=0,LOOKUP(2,1/($B$2:B201&lt;&gt;0),$B$2:B201),B201))-FIND(".",IF(B201=0,LOOKUP(2,1/($B$2:B201&lt;&gt;0),$B$2:B201),B201))),"_",IF(ISNUMBER(SEARCH("[",D201)),LEFT(D201,FIND("[",D201)-1),D201)),"")</f>
        <v/>
      </c>
      <c r="P201" s="90" t="n"/>
      <c r="Q201" s="83" t="inlineStr">
        <is>
          <t>最高位为+/-控制位</t>
        </is>
      </c>
      <c r="R201" s="83" t="inlineStr">
        <is>
          <t xml:space="preserve"> 0x0048</t>
        </is>
      </c>
      <c r="S201" s="83" t="inlineStr">
        <is>
          <t>[5:0]</t>
        </is>
      </c>
      <c r="T201" s="83" t="n"/>
    </row>
    <row r="202">
      <c r="A202" s="72" t="inlineStr">
        <is>
          <t>pga_model.pga_inst</t>
        </is>
      </c>
      <c r="B202" s="133" t="n"/>
      <c r="C202" s="83" t="inlineStr">
        <is>
          <t>core_pd.core_pd_inst</t>
        </is>
      </c>
      <c r="D202" s="77" t="inlineStr">
        <is>
          <t>LI_TRIM_OFFSETP[5:0]</t>
        </is>
      </c>
      <c r="E202" s="83">
        <f>IF(AND(ISNUMBER(FIND("[",D202)),ISNUMBER(FIND("]",D202)),ISNUMBER(FIND(":",D202))),MID(D202,FIND("[",D202)+1,FIND(":",D202)-FIND("[",D202)-1)+1-MID(D202,FIND(":",D202)+1,FIND("]",D202)-FIND(":",D202)-1),IF(OR(ISNUMBER(FIND("[",D202)),ISNUMBER(FIND("]",D202)),ISNUMBER(FIND(":",D202))),"ERROR",1))</f>
        <v/>
      </c>
      <c r="F202" s="98" t="inlineStr">
        <is>
          <t>I</t>
        </is>
      </c>
      <c r="G202" s="83" t="n"/>
      <c r="H202" s="83" t="inlineStr">
        <is>
          <t>b000000</t>
        </is>
      </c>
      <c r="I202" s="93" t="inlineStr">
        <is>
          <t>YES</t>
        </is>
      </c>
      <c r="J202" s="88" t="n"/>
      <c r="K202" s="88" t="n"/>
      <c r="L202" s="88" t="n"/>
      <c r="M202" s="89">
        <f>H202</f>
        <v/>
      </c>
      <c r="N202" s="88" t="n"/>
      <c r="O202" s="88">
        <f>IF(AND(OR(EXACT(F202,"I"),EXACT(F202,"O")),NOT(EXACT(P202,"NA"))),CONCATENATE("c_reg_test_sel_",RIGHT(IF(B202=0,LOOKUP(2,1/($B$2:B202&lt;&gt;0),$B$2:B202),B202),LEN(IF(B202=0,LOOKUP(2,1/($B$2:B202&lt;&gt;0),$B$2:B202),B202))-FIND(".",IF(B202=0,LOOKUP(2,1/($B$2:B202&lt;&gt;0),$B$2:B202),B202))),IF(0,CONCATENATE("&amp; !c_test_reg_pin_disable_",RIGHT(IF(B202=0,LOOKUP(2,1/($B$2:B202&lt;&gt;0),$B$2:B202),B202),LEN(IF(B202=0,LOOKUP(2,1/($B$2:B202&lt;&gt;0),$B$2:B202),B202))-FIND(".",IF(B202=0,LOOKUP(2,1/($B$2:B202&lt;&gt;0),$B$2:B202),B202)))),""),IF(P202,CONCATENATE("_grp_",P202),""),"/","c_pad_",RIGHT(IF(B202=0,LOOKUP(2,1/($B$2:B202&lt;&gt;0),$B$2:B202),B202),LEN(IF(B202=0,LOOKUP(2,1/($B$2:B202&lt;&gt;0),$B$2:B202),B202))-FIND(".",IF(B202=0,LOOKUP(2,1/($B$2:B202&lt;&gt;0),$B$2:B202),B202))),"_",IF(ISNUMBER(SEARCH("[",D202)),LEFT(D202,FIND("[",D202)-1),D202)),"")</f>
        <v/>
      </c>
      <c r="P202" s="90" t="n"/>
      <c r="Q202" s="83" t="inlineStr">
        <is>
          <t>最高位为+/-控制位</t>
        </is>
      </c>
      <c r="R202" s="83" t="inlineStr">
        <is>
          <t xml:space="preserve"> 0x0049</t>
        </is>
      </c>
      <c r="S202" s="83" t="inlineStr">
        <is>
          <t>[5:0]</t>
        </is>
      </c>
      <c r="T202" s="83" t="n"/>
    </row>
    <row r="203">
      <c r="A203" s="72" t="inlineStr">
        <is>
          <t>pga_model.pga_inst</t>
        </is>
      </c>
      <c r="B203" s="133" t="n"/>
      <c r="C203" s="83" t="inlineStr">
        <is>
          <t>core_pd.core_pd_inst</t>
        </is>
      </c>
      <c r="D203" s="83" t="inlineStr">
        <is>
          <t>LI_VCOM_EN</t>
        </is>
      </c>
      <c r="E203" s="83">
        <f>IF(AND(ISNUMBER(FIND("[",D203)),ISNUMBER(FIND("]",D203)),ISNUMBER(FIND(":",D203))),MID(D203,FIND("[",D203)+1,FIND(":",D203)-FIND("[",D203)-1)+1-MID(D203,FIND(":",D203)+1,FIND("]",D203)-FIND(":",D203)-1),IF(OR(ISNUMBER(FIND("[",D203)),ISNUMBER(FIND("]",D203)),ISNUMBER(FIND(":",D203))),"ERROR",1))</f>
        <v/>
      </c>
      <c r="F203" s="98" t="inlineStr">
        <is>
          <t>I</t>
        </is>
      </c>
      <c r="G203" s="83" t="n"/>
      <c r="H203" s="83" t="inlineStr">
        <is>
          <t>b0</t>
        </is>
      </c>
      <c r="I203" s="93" t="inlineStr">
        <is>
          <t>YES</t>
        </is>
      </c>
      <c r="J203" s="88" t="n"/>
      <c r="K203" s="88" t="n"/>
      <c r="L203" s="88" t="n"/>
      <c r="M203" s="89">
        <f>H203</f>
        <v/>
      </c>
      <c r="N203" s="88" t="n"/>
      <c r="O203" s="88">
        <f>IF(AND(OR(EXACT(F203,"I"),EXACT(F203,"O")),NOT(EXACT(P203,"NA"))),CONCATENATE("c_reg_test_sel_",RIGHT(IF(B203=0,LOOKUP(2,1/($B$2:B203&lt;&gt;0),$B$2:B203),B203),LEN(IF(B203=0,LOOKUP(2,1/($B$2:B203&lt;&gt;0),$B$2:B203),B203))-FIND(".",IF(B203=0,LOOKUP(2,1/($B$2:B203&lt;&gt;0),$B$2:B203),B203))),IF(0,CONCATENATE("&amp; !c_test_reg_pin_disable_",RIGHT(IF(B203=0,LOOKUP(2,1/($B$2:B203&lt;&gt;0),$B$2:B203),B203),LEN(IF(B203=0,LOOKUP(2,1/($B$2:B203&lt;&gt;0),$B$2:B203),B203))-FIND(".",IF(B203=0,LOOKUP(2,1/($B$2:B203&lt;&gt;0),$B$2:B203),B203)))),""),IF(P203,CONCATENATE("_grp_",P203),""),"/","c_pad_",RIGHT(IF(B203=0,LOOKUP(2,1/($B$2:B203&lt;&gt;0),$B$2:B203),B203),LEN(IF(B203=0,LOOKUP(2,1/($B$2:B203&lt;&gt;0),$B$2:B203),B203))-FIND(".",IF(B203=0,LOOKUP(2,1/($B$2:B203&lt;&gt;0),$B$2:B203),B203))),"_",IF(ISNUMBER(SEARCH("[",D203)),LEFT(D203,FIND("[",D203)-1),D203)),"")</f>
        <v/>
      </c>
      <c r="P203" s="90" t="n"/>
      <c r="Q203" s="83" t="inlineStr">
        <is>
          <t>1‘b1使能，1'b0关闭</t>
        </is>
      </c>
      <c r="R203" s="83" t="inlineStr">
        <is>
          <t xml:space="preserve"> 0x004A</t>
        </is>
      </c>
      <c r="S203" s="83" t="inlineStr">
        <is>
          <t>[0]</t>
        </is>
      </c>
      <c r="T203" s="83" t="n"/>
    </row>
    <row r="204">
      <c r="A204" s="72" t="inlineStr">
        <is>
          <t>pga_model.pga_inst</t>
        </is>
      </c>
      <c r="B204" s="133" t="n"/>
      <c r="C204" s="83" t="inlineStr">
        <is>
          <t>core_pd.core_pd_inst</t>
        </is>
      </c>
      <c r="D204" s="83" t="inlineStr">
        <is>
          <t>LI_VCOM_MUX</t>
        </is>
      </c>
      <c r="E204" s="83">
        <f>IF(AND(ISNUMBER(FIND("[",D204)),ISNUMBER(FIND("]",D204)),ISNUMBER(FIND(":",D204))),MID(D204,FIND("[",D204)+1,FIND(":",D204)-FIND("[",D204)-1)+1-MID(D204,FIND(":",D204)+1,FIND("]",D204)-FIND(":",D204)-1),IF(OR(ISNUMBER(FIND("[",D204)),ISNUMBER(FIND("]",D204)),ISNUMBER(FIND(":",D204))),"ERROR",1))</f>
        <v/>
      </c>
      <c r="F204" s="98" t="inlineStr">
        <is>
          <t>I</t>
        </is>
      </c>
      <c r="G204" s="83" t="n"/>
      <c r="H204" s="83" t="inlineStr">
        <is>
          <t>b0</t>
        </is>
      </c>
      <c r="I204" s="93" t="inlineStr">
        <is>
          <t>YES</t>
        </is>
      </c>
      <c r="J204" s="88" t="n"/>
      <c r="K204" s="88" t="n"/>
      <c r="L204" s="88" t="n"/>
      <c r="M204" s="89">
        <f>H204</f>
        <v/>
      </c>
      <c r="N204" s="88" t="n"/>
      <c r="O204" s="88">
        <f>IF(AND(OR(EXACT(F204,"I"),EXACT(F204,"O")),NOT(EXACT(P204,"NA"))),CONCATENATE("c_reg_test_sel_",RIGHT(IF(B204=0,LOOKUP(2,1/($B$2:B204&lt;&gt;0),$B$2:B204),B204),LEN(IF(B204=0,LOOKUP(2,1/($B$2:B204&lt;&gt;0),$B$2:B204),B204))-FIND(".",IF(B204=0,LOOKUP(2,1/($B$2:B204&lt;&gt;0),$B$2:B204),B204))),IF(0,CONCATENATE("&amp; !c_test_reg_pin_disable_",RIGHT(IF(B204=0,LOOKUP(2,1/($B$2:B204&lt;&gt;0),$B$2:B204),B204),LEN(IF(B204=0,LOOKUP(2,1/($B$2:B204&lt;&gt;0),$B$2:B204),B204))-FIND(".",IF(B204=0,LOOKUP(2,1/($B$2:B204&lt;&gt;0),$B$2:B204),B204)))),""),IF(P204,CONCATENATE("_grp_",P204),""),"/","c_pad_",RIGHT(IF(B204=0,LOOKUP(2,1/($B$2:B204&lt;&gt;0),$B$2:B204),B204),LEN(IF(B204=0,LOOKUP(2,1/($B$2:B204&lt;&gt;0),$B$2:B204),B204))-FIND(".",IF(B204=0,LOOKUP(2,1/($B$2:B204&lt;&gt;0),$B$2:B204),B204))),"_",IF(ISNUMBER(SEARCH("[",D204)),LEFT(D204,FIND("[",D204)-1),D204)),"")</f>
        <v/>
      </c>
      <c r="P204" s="90" t="n"/>
      <c r="Q204" s="83" t="n"/>
      <c r="R204" s="83" t="inlineStr">
        <is>
          <t xml:space="preserve"> 0x004A</t>
        </is>
      </c>
      <c r="S204" s="83" t="inlineStr">
        <is>
          <t>[1]</t>
        </is>
      </c>
      <c r="T204" s="83" t="n"/>
    </row>
    <row r="205" ht="31.5" customHeight="1" s="26">
      <c r="A205" s="72" t="inlineStr">
        <is>
          <t>pga_model.pga_inst</t>
        </is>
      </c>
      <c r="B205" s="133" t="n"/>
      <c r="C205" s="83" t="inlineStr">
        <is>
          <t>core_pd.core_pd_inst</t>
        </is>
      </c>
      <c r="D205" s="83" t="inlineStr">
        <is>
          <t>LI_VCOM_SEL[2:0]</t>
        </is>
      </c>
      <c r="E205" s="83">
        <f>IF(AND(ISNUMBER(FIND("[",D205)),ISNUMBER(FIND("]",D205)),ISNUMBER(FIND(":",D205))),MID(D205,FIND("[",D205)+1,FIND(":",D205)-FIND("[",D205)-1)+1-MID(D205,FIND(":",D205)+1,FIND("]",D205)-FIND(":",D205)-1),IF(OR(ISNUMBER(FIND("[",D205)),ISNUMBER(FIND("]",D205)),ISNUMBER(FIND(":",D205))),"ERROR",1))</f>
        <v/>
      </c>
      <c r="F205" s="98" t="inlineStr">
        <is>
          <t>I</t>
        </is>
      </c>
      <c r="G205" s="83" t="n"/>
      <c r="H205" s="83" t="inlineStr">
        <is>
          <t>b011</t>
        </is>
      </c>
      <c r="I205" s="93" t="inlineStr">
        <is>
          <t>YES</t>
        </is>
      </c>
      <c r="J205" s="88" t="n"/>
      <c r="K205" s="88" t="n"/>
      <c r="L205" s="88" t="n"/>
      <c r="M205" s="89">
        <f>H205</f>
        <v/>
      </c>
      <c r="N205" s="88" t="n"/>
      <c r="O205" s="88">
        <f>IF(AND(OR(EXACT(F205,"I"),EXACT(F205,"O")),NOT(EXACT(P205,"NA"))),CONCATENATE("c_reg_test_sel_",RIGHT(IF(B205=0,LOOKUP(2,1/($B$2:B205&lt;&gt;0),$B$2:B205),B205),LEN(IF(B205=0,LOOKUP(2,1/($B$2:B205&lt;&gt;0),$B$2:B205),B205))-FIND(".",IF(B205=0,LOOKUP(2,1/($B$2:B205&lt;&gt;0),$B$2:B205),B205))),IF(0,CONCATENATE("&amp; !c_test_reg_pin_disable_",RIGHT(IF(B205=0,LOOKUP(2,1/($B$2:B205&lt;&gt;0),$B$2:B205),B205),LEN(IF(B205=0,LOOKUP(2,1/($B$2:B205&lt;&gt;0),$B$2:B205),B205))-FIND(".",IF(B205=0,LOOKUP(2,1/($B$2:B205&lt;&gt;0),$B$2:B205),B205)))),""),IF(P205,CONCATENATE("_grp_",P205),""),"/","c_pad_",RIGHT(IF(B205=0,LOOKUP(2,1/($B$2:B205&lt;&gt;0),$B$2:B205),B205),LEN(IF(B205=0,LOOKUP(2,1/($B$2:B205&lt;&gt;0),$B$2:B205),B205))-FIND(".",IF(B205=0,LOOKUP(2,1/($B$2:B205&lt;&gt;0),$B$2:B205),B205))),"_",IF(ISNUMBER(SEARCH("[",D205)),LEFT(D205,FIND("[",D205)-1),D205)),"")</f>
        <v/>
      </c>
      <c r="P205" s="90" t="n"/>
      <c r="Q205" s="83" t="inlineStr">
        <is>
          <t>000: 0, 001: VREF12, 010: 1.25*VREF12, 011(default): 1.5*VREF12
100: 2*VREF12, 101: 2.5*VREF12, 11X: 2.5*VREF12;</t>
        </is>
      </c>
      <c r="R205" s="83" t="inlineStr">
        <is>
          <t xml:space="preserve"> 0x004A</t>
        </is>
      </c>
      <c r="S205" s="83" t="inlineStr">
        <is>
          <t>[6:4]</t>
        </is>
      </c>
      <c r="T205" s="83" t="n"/>
    </row>
    <row r="206">
      <c r="A206" s="72" t="inlineStr">
        <is>
          <t>pga_model.pga_inst</t>
        </is>
      </c>
      <c r="B206" s="133" t="n"/>
      <c r="C206" s="83" t="inlineStr">
        <is>
          <t>core_pd.core_pd_inst</t>
        </is>
      </c>
      <c r="D206" s="83" t="inlineStr">
        <is>
          <t>LI_VCOM_TEST</t>
        </is>
      </c>
      <c r="E206" s="83">
        <f>IF(AND(ISNUMBER(FIND("[",D206)),ISNUMBER(FIND("]",D206)),ISNUMBER(FIND(":",D206))),MID(D206,FIND("[",D206)+1,FIND(":",D206)-FIND("[",D206)-1)+1-MID(D206,FIND(":",D206)+1,FIND("]",D206)-FIND(":",D206)-1),IF(OR(ISNUMBER(FIND("[",D206)),ISNUMBER(FIND("]",D206)),ISNUMBER(FIND(":",D206))),"ERROR",1))</f>
        <v/>
      </c>
      <c r="F206" s="98" t="inlineStr">
        <is>
          <t>I</t>
        </is>
      </c>
      <c r="G206" s="83" t="n"/>
      <c r="H206" s="83" t="inlineStr">
        <is>
          <t>b0</t>
        </is>
      </c>
      <c r="I206" s="93" t="inlineStr">
        <is>
          <t>YES</t>
        </is>
      </c>
      <c r="J206" s="88" t="n"/>
      <c r="K206" s="88" t="n"/>
      <c r="L206" s="88" t="n"/>
      <c r="M206" s="89">
        <f>H206</f>
        <v/>
      </c>
      <c r="N206" s="88" t="n"/>
      <c r="O206" s="88">
        <f>IF(AND(OR(EXACT(F206,"I"),EXACT(F206,"O")),NOT(EXACT(P206,"NA"))),CONCATENATE("c_reg_test_sel_",RIGHT(IF(B206=0,LOOKUP(2,1/($B$2:B206&lt;&gt;0),$B$2:B206),B206),LEN(IF(B206=0,LOOKUP(2,1/($B$2:B206&lt;&gt;0),$B$2:B206),B206))-FIND(".",IF(B206=0,LOOKUP(2,1/($B$2:B206&lt;&gt;0),$B$2:B206),B206))),IF(0,CONCATENATE("&amp; !c_test_reg_pin_disable_",RIGHT(IF(B206=0,LOOKUP(2,1/($B$2:B206&lt;&gt;0),$B$2:B206),B206),LEN(IF(B206=0,LOOKUP(2,1/($B$2:B206&lt;&gt;0),$B$2:B206),B206))-FIND(".",IF(B206=0,LOOKUP(2,1/($B$2:B206&lt;&gt;0),$B$2:B206),B206)))),""),IF(P206,CONCATENATE("_grp_",P206),""),"/","c_pad_",RIGHT(IF(B206=0,LOOKUP(2,1/($B$2:B206&lt;&gt;0),$B$2:B206),B206),LEN(IF(B206=0,LOOKUP(2,1/($B$2:B206&lt;&gt;0),$B$2:B206),B206))-FIND(".",IF(B206=0,LOOKUP(2,1/($B$2:B206&lt;&gt;0),$B$2:B206),B206))),"_",IF(ISNUMBER(SEARCH("[",D206)),LEFT(D206,FIND("[",D206)-1),D206)),"")</f>
        <v/>
      </c>
      <c r="P206" s="90" t="n"/>
      <c r="Q206" s="83" t="inlineStr">
        <is>
          <t>VCOM电压测试信号</t>
        </is>
      </c>
      <c r="R206" s="83" t="inlineStr">
        <is>
          <t xml:space="preserve"> 0x004A</t>
        </is>
      </c>
      <c r="S206" s="83" t="inlineStr">
        <is>
          <t>[2]</t>
        </is>
      </c>
      <c r="T206" s="83" t="n"/>
    </row>
    <row r="207" hidden="1" s="26">
      <c r="A207" s="72" t="inlineStr">
        <is>
          <t>pga_model.pga_inst</t>
        </is>
      </c>
      <c r="B207" s="133" t="n"/>
      <c r="C207" s="94" t="inlineStr">
        <is>
          <t>TOP:pmu_inst_VREF1P2</t>
        </is>
      </c>
      <c r="D207" s="94" t="inlineStr">
        <is>
          <t>PGA_VREF1P2</t>
        </is>
      </c>
      <c r="E207" s="83">
        <f>IF(AND(ISNUMBER(FIND("[",D207)),ISNUMBER(FIND("]",D207)),ISNUMBER(FIND(":",D207))),MID(D207,FIND("[",D207)+1,FIND(":",D207)-FIND("[",D207)-1)+1-MID(D207,FIND(":",D207)+1,FIND("]",D207)-FIND(":",D207)-1),IF(OR(ISNUMBER(FIND("[",D207)),ISNUMBER(FIND("]",D207)),ISNUMBER(FIND(":",D207))),"ERROR",1))</f>
        <v/>
      </c>
      <c r="F207" s="98" t="inlineStr">
        <is>
          <t>P</t>
        </is>
      </c>
      <c r="G207" s="83" t="n"/>
      <c r="H207" s="83" t="n"/>
      <c r="I207" s="102" t="n"/>
      <c r="M207" s="72" t="n"/>
      <c r="P207" s="72" t="n"/>
      <c r="Q207" s="102" t="n"/>
      <c r="R207" s="83" t="n"/>
      <c r="S207" s="83" t="n"/>
      <c r="T207" s="83" t="n"/>
    </row>
    <row r="208" hidden="1" s="26">
      <c r="A208" s="72" t="inlineStr">
        <is>
          <t>pga_model.pga_inst</t>
        </is>
      </c>
      <c r="B208" s="133" t="n"/>
      <c r="C208" s="111" t="inlineStr">
        <is>
          <t xml:space="preserve">PA6: </t>
        </is>
      </c>
      <c r="D208" s="83" t="inlineStr">
        <is>
          <t>AO_PGA_VOUT</t>
        </is>
      </c>
      <c r="E208" s="83">
        <f>IF(AND(ISNUMBER(FIND("[",D208)),ISNUMBER(FIND("]",D208)),ISNUMBER(FIND(":",D208))),MID(D208,FIND("[",D208)+1,FIND(":",D208)-FIND("[",D208)-1)+1-MID(D208,FIND(":",D208)+1,FIND("]",D208)-FIND(":",D208)-1),IF(OR(ISNUMBER(FIND("[",D208)),ISNUMBER(FIND("]",D208)),ISNUMBER(FIND(":",D208))),"ERROR",1))</f>
        <v/>
      </c>
      <c r="F208" s="98" t="inlineStr">
        <is>
          <t>A</t>
        </is>
      </c>
      <c r="G208" s="83" t="n"/>
      <c r="H208" s="83" t="n"/>
      <c r="I208" s="83" t="n"/>
      <c r="M208" s="72" t="n"/>
      <c r="P208" s="72" t="n"/>
      <c r="Q208" s="83" t="inlineStr">
        <is>
          <t>PGA输出</t>
        </is>
      </c>
      <c r="R208" s="83" t="n"/>
      <c r="S208" s="83" t="n"/>
      <c r="T208" s="83" t="n"/>
    </row>
    <row r="209" hidden="1" s="26">
      <c r="A209" s="72" t="inlineStr">
        <is>
          <t>pga_model.pga_inst</t>
        </is>
      </c>
      <c r="B209" s="134" t="n"/>
      <c r="C209" s="83" t="inlineStr">
        <is>
          <t>PA7: YAR</t>
        </is>
      </c>
      <c r="D209" s="83" t="inlineStr">
        <is>
          <t>AO_PGA_VCOM</t>
        </is>
      </c>
      <c r="E209" s="83" t="n">
        <v>1</v>
      </c>
      <c r="F209" s="98" t="inlineStr">
        <is>
          <t>P</t>
        </is>
      </c>
      <c r="G209" s="83" t="n"/>
      <c r="H209" s="83" t="n"/>
      <c r="I209" s="83" t="n"/>
      <c r="M209" s="72" t="n"/>
      <c r="P209" s="72" t="n"/>
      <c r="Q209" s="83" t="inlineStr">
        <is>
          <t>PGA VCOM输出/输入</t>
        </is>
      </c>
      <c r="R209" s="83" t="n"/>
      <c r="S209" s="83" t="n"/>
      <c r="T209" s="83" t="n"/>
    </row>
    <row r="210" hidden="1" s="26">
      <c r="A210" s="72" t="inlineStr">
        <is>
          <t>dac_model.dac_inst</t>
        </is>
      </c>
      <c r="B210" s="83" t="inlineStr">
        <is>
          <t>dac_model.dac_inst</t>
        </is>
      </c>
      <c r="C210" s="83" t="inlineStr">
        <is>
          <t>TOP:dac_inst_VREFP</t>
        </is>
      </c>
      <c r="D210" s="83" t="inlineStr">
        <is>
          <t>VREFP</t>
        </is>
      </c>
      <c r="E210" s="83">
        <f>IF(AND(ISNUMBER(FIND("[",D210)),ISNUMBER(FIND("]",D210)),ISNUMBER(FIND(":",D210))),MID(D210,FIND("[",D210)+1,FIND(":",D210)-FIND("[",D210)-1)+1-MID(D210,FIND(":",D210)+1,FIND("]",D210)-FIND(":",D210)-1),IF(OR(ISNUMBER(FIND("[",D210)),ISNUMBER(FIND("]",D210)),ISNUMBER(FIND(":",D210))),"ERROR",1))</f>
        <v/>
      </c>
      <c r="F210" s="98" t="inlineStr">
        <is>
          <t>P</t>
        </is>
      </c>
      <c r="G210" s="83" t="n"/>
      <c r="H210" s="83" t="n"/>
      <c r="I210" s="83" t="n"/>
      <c r="M210" s="72" t="n"/>
      <c r="P210" s="72" t="n"/>
      <c r="Q210" s="83" t="inlineStr">
        <is>
          <t>Positive reference voltage(Analog power)</t>
        </is>
      </c>
      <c r="R210" s="83" t="n"/>
      <c r="S210" s="83" t="n"/>
      <c r="T210" s="83" t="n"/>
    </row>
    <row r="211" hidden="1" s="26">
      <c r="A211" s="72" t="inlineStr">
        <is>
          <t>dac_model.dac_inst</t>
        </is>
      </c>
      <c r="B211" s="133" t="n"/>
      <c r="C211" s="83" t="inlineStr">
        <is>
          <t>TOP:dac_inst_VREFN</t>
        </is>
      </c>
      <c r="D211" s="83" t="inlineStr">
        <is>
          <t>VREFN</t>
        </is>
      </c>
      <c r="E211" s="83">
        <f>IF(AND(ISNUMBER(FIND("[",D211)),ISNUMBER(FIND("]",D211)),ISNUMBER(FIND(":",D211))),MID(D211,FIND("[",D211)+1,FIND(":",D211)-FIND("[",D211)-1)+1-MID(D211,FIND(":",D211)+1,FIND("]",D211)-FIND(":",D211)-1),IF(OR(ISNUMBER(FIND("[",D211)),ISNUMBER(FIND("]",D211)),ISNUMBER(FIND(":",D211))),"ERROR",1))</f>
        <v/>
      </c>
      <c r="F211" s="98" t="inlineStr">
        <is>
          <t>P</t>
        </is>
      </c>
      <c r="G211" s="83" t="n"/>
      <c r="H211" s="83" t="n"/>
      <c r="I211" s="83" t="n"/>
      <c r="M211" s="72" t="n"/>
      <c r="P211" s="72" t="n"/>
      <c r="Q211" s="83" t="inlineStr">
        <is>
          <t>Negtive reference viltage(Analog ground)</t>
        </is>
      </c>
      <c r="R211" s="83" t="n"/>
      <c r="S211" s="83" t="n"/>
      <c r="T211" s="83" t="n"/>
    </row>
    <row r="212" hidden="1" s="26">
      <c r="A212" s="72" t="inlineStr">
        <is>
          <t>dac_model.dac_inst</t>
        </is>
      </c>
      <c r="B212" s="133" t="n"/>
      <c r="C212" s="83" t="inlineStr">
        <is>
          <t>TOP:dac_inst_V12</t>
        </is>
      </c>
      <c r="D212" s="83" t="inlineStr">
        <is>
          <t>V15</t>
        </is>
      </c>
      <c r="E212" s="83">
        <f>IF(AND(ISNUMBER(FIND("[",D212)),ISNUMBER(FIND("]",D212)),ISNUMBER(FIND(":",D212))),MID(D212,FIND("[",D212)+1,FIND(":",D212)-FIND("[",D212)-1)+1-MID(D212,FIND(":",D212)+1,FIND("]",D212)-FIND(":",D212)-1),IF(OR(ISNUMBER(FIND("[",D212)),ISNUMBER(FIND("]",D212)),ISNUMBER(FIND(":",D212))),"ERROR",1))</f>
        <v/>
      </c>
      <c r="F212" s="98" t="inlineStr">
        <is>
          <t>P</t>
        </is>
      </c>
      <c r="G212" s="83" t="n"/>
      <c r="H212" s="83" t="n"/>
      <c r="I212" s="83" t="n"/>
      <c r="M212" s="72" t="n"/>
      <c r="P212" s="72" t="n"/>
      <c r="Q212" s="83" t="inlineStr">
        <is>
          <t>Digital Power</t>
        </is>
      </c>
      <c r="R212" s="83" t="n"/>
      <c r="S212" s="83" t="n"/>
      <c r="T212" s="83" t="n"/>
    </row>
    <row r="213" hidden="1" s="26">
      <c r="A213" s="72" t="inlineStr">
        <is>
          <t>dac_model.dac_inst</t>
        </is>
      </c>
      <c r="B213" s="133" t="n"/>
      <c r="C213" s="83" t="inlineStr">
        <is>
          <t>TOP:VCC5V</t>
        </is>
      </c>
      <c r="D213" s="83" t="inlineStr">
        <is>
          <t>P50</t>
        </is>
      </c>
      <c r="E213" s="83">
        <f>IF(AND(ISNUMBER(FIND("[",D213)),ISNUMBER(FIND("]",D213)),ISNUMBER(FIND(":",D213))),MID(D213,FIND("[",D213)+1,FIND(":",D213)-FIND("[",D213)-1)+1-MID(D213,FIND(":",D213)+1,FIND("]",D213)-FIND(":",D213)-1),IF(OR(ISNUMBER(FIND("[",D213)),ISNUMBER(FIND("]",D213)),ISNUMBER(FIND(":",D213))),"ERROR",1))</f>
        <v/>
      </c>
      <c r="F213" s="98" t="inlineStr">
        <is>
          <t>A</t>
        </is>
      </c>
      <c r="G213" s="83" t="n"/>
      <c r="H213" s="83" t="n"/>
      <c r="I213" s="83" t="n"/>
      <c r="M213" s="72" t="n"/>
      <c r="P213" s="72" t="n"/>
      <c r="Q213" s="83" t="inlineStr">
        <is>
          <t>power mos power，2mA</t>
        </is>
      </c>
      <c r="R213" s="83" t="n"/>
      <c r="S213" s="83" t="n"/>
      <c r="T213" s="83" t="n"/>
    </row>
    <row r="214" hidden="1" s="26">
      <c r="A214" s="72" t="inlineStr">
        <is>
          <t>dac_model.dac_inst</t>
        </is>
      </c>
      <c r="B214" s="133" t="n"/>
      <c r="C214" s="83" t="inlineStr">
        <is>
          <t>TOP:VCC5V</t>
        </is>
      </c>
      <c r="D214" s="83" t="inlineStr">
        <is>
          <t>V50</t>
        </is>
      </c>
      <c r="E214" s="83">
        <f>IF(AND(ISNUMBER(FIND("[",D214)),ISNUMBER(FIND("]",D214)),ISNUMBER(FIND(":",D214))),MID(D214,FIND("[",D214)+1,FIND(":",D214)-FIND("[",D214)-1)+1-MID(D214,FIND(":",D214)+1,FIND("]",D214)-FIND(":",D214)-1),IF(OR(ISNUMBER(FIND("[",D214)),ISNUMBER(FIND("]",D214)),ISNUMBER(FIND(":",D214))),"ERROR",1))</f>
        <v/>
      </c>
      <c r="F214" s="98" t="inlineStr">
        <is>
          <t>P</t>
        </is>
      </c>
      <c r="G214" s="93" t="inlineStr">
        <is>
          <t>5V</t>
        </is>
      </c>
      <c r="H214" s="83" t="n"/>
      <c r="I214" s="83" t="n"/>
      <c r="M214" s="72" t="n"/>
      <c r="P214" s="72" t="n"/>
      <c r="Q214" s="83" t="inlineStr">
        <is>
          <t>Analog power</t>
        </is>
      </c>
      <c r="R214" s="83" t="n"/>
      <c r="S214" s="83" t="n"/>
      <c r="T214" s="83" t="n"/>
    </row>
    <row r="215" hidden="1" s="26">
      <c r="A215" s="72" t="inlineStr">
        <is>
          <t>dac_model.dac_inst</t>
        </is>
      </c>
      <c r="B215" s="133" t="n"/>
      <c r="C215" s="94" t="inlineStr">
        <is>
          <t>TOP:pmu_inst_Ibias_5u[0]</t>
        </is>
      </c>
      <c r="D215" s="94" t="inlineStr">
        <is>
          <t>IBP5U</t>
        </is>
      </c>
      <c r="E215" s="83" t="n">
        <v>1</v>
      </c>
      <c r="F215" s="98" t="inlineStr">
        <is>
          <t>P</t>
        </is>
      </c>
      <c r="G215" s="93" t="n"/>
      <c r="H215" s="83" t="n"/>
      <c r="I215" s="83" t="n"/>
      <c r="M215" s="72" t="n"/>
      <c r="P215" s="72" t="n"/>
      <c r="Q215" s="83" t="n"/>
      <c r="R215" s="83" t="n"/>
      <c r="S215" s="83" t="n"/>
      <c r="T215" s="83" t="n"/>
    </row>
    <row r="216" hidden="1" s="26">
      <c r="A216" s="72" t="inlineStr">
        <is>
          <t>dac_model.dac_inst</t>
        </is>
      </c>
      <c r="B216" s="133" t="n"/>
      <c r="C216" s="83" t="inlineStr">
        <is>
          <t>TOP:VSSA</t>
        </is>
      </c>
      <c r="D216" s="119" t="inlineStr">
        <is>
          <t>PGND</t>
        </is>
      </c>
      <c r="E216" s="83">
        <f>IF(AND(ISNUMBER(FIND("[",D216)),ISNUMBER(FIND("]",D216)),ISNUMBER(FIND(":",D216))),MID(D216,FIND("[",D216)+1,FIND(":",D216)-FIND("[",D216)-1)+1-MID(D216,FIND(":",D216)+1,FIND("]",D216)-FIND(":",D216)-1),IF(OR(ISNUMBER(FIND("[",D216)),ISNUMBER(FIND("]",D216)),ISNUMBER(FIND(":",D216))),"ERROR",1))</f>
        <v/>
      </c>
      <c r="F216" s="98" t="inlineStr">
        <is>
          <t>G</t>
        </is>
      </c>
      <c r="G216" s="83" t="n"/>
      <c r="H216" s="83" t="n"/>
      <c r="I216" s="83" t="n"/>
      <c r="M216" s="72" t="n"/>
      <c r="P216" s="72" t="n"/>
      <c r="Q216" s="83" t="inlineStr">
        <is>
          <t>VSS</t>
        </is>
      </c>
      <c r="R216" s="83" t="n"/>
      <c r="S216" s="83" t="n"/>
      <c r="T216" s="83" t="n"/>
    </row>
    <row r="217" hidden="1" s="26">
      <c r="A217" s="72" t="inlineStr">
        <is>
          <t>dac_model.dac_inst</t>
        </is>
      </c>
      <c r="B217" s="133" t="n"/>
      <c r="C217" s="83" t="inlineStr">
        <is>
          <t>TOP:VSSA</t>
        </is>
      </c>
      <c r="D217" s="119" t="inlineStr">
        <is>
          <t>AGND</t>
        </is>
      </c>
      <c r="E217" s="83">
        <f>IF(AND(ISNUMBER(FIND("[",D217)),ISNUMBER(FIND("]",D217)),ISNUMBER(FIND(":",D217))),MID(D217,FIND("[",D217)+1,FIND(":",D217)-FIND("[",D217)-1)+1-MID(D217,FIND(":",D217)+1,FIND("]",D217)-FIND(":",D217)-1),IF(OR(ISNUMBER(FIND("[",D217)),ISNUMBER(FIND("]",D217)),ISNUMBER(FIND(":",D217))),"ERROR",1))</f>
        <v/>
      </c>
      <c r="F217" s="98" t="inlineStr">
        <is>
          <t>G</t>
        </is>
      </c>
      <c r="G217" s="83" t="n"/>
      <c r="H217" s="83" t="n"/>
      <c r="I217" s="83" t="n"/>
      <c r="M217" s="72" t="n"/>
      <c r="P217" s="72" t="n"/>
      <c r="Q217" s="83" t="n"/>
      <c r="R217" s="83" t="n"/>
      <c r="S217" s="83" t="n"/>
      <c r="T217" s="83" t="n"/>
    </row>
    <row r="218">
      <c r="A218" s="72" t="inlineStr">
        <is>
          <t>dac_model.dac_inst</t>
        </is>
      </c>
      <c r="B218" s="133" t="n"/>
      <c r="C218" s="83" t="inlineStr">
        <is>
          <t>core_pd.core_pd_inst</t>
        </is>
      </c>
      <c r="D218" s="83" t="inlineStr">
        <is>
          <t>LI_DIN[11:0]</t>
        </is>
      </c>
      <c r="E218" s="83">
        <f>IF(AND(ISNUMBER(FIND("[",D218)),ISNUMBER(FIND("]",D218)),ISNUMBER(FIND(":",D218))),MID(D218,FIND("[",D218)+1,FIND(":",D218)-FIND("[",D218)-1)+1-MID(D218,FIND(":",D218)+1,FIND("]",D218)-FIND(":",D218)-1),IF(OR(ISNUMBER(FIND("[",D218)),ISNUMBER(FIND("]",D218)),ISNUMBER(FIND(":",D218))),"ERROR",1))</f>
        <v/>
      </c>
      <c r="F218" s="98" t="inlineStr">
        <is>
          <t>I</t>
        </is>
      </c>
      <c r="G218" s="83" t="n"/>
      <c r="H218" s="83" t="inlineStr">
        <is>
          <t>b000000000000</t>
        </is>
      </c>
      <c r="I218" s="93" t="inlineStr">
        <is>
          <t>YES</t>
        </is>
      </c>
      <c r="J218" s="88" t="n"/>
      <c r="K218" s="88" t="n"/>
      <c r="L218" s="88" t="n"/>
      <c r="M218" s="89">
        <f>H218</f>
        <v/>
      </c>
      <c r="N218" s="88" t="n"/>
      <c r="O218" s="88">
        <f>IF(AND(OR(EXACT(F218,"I"),EXACT(F218,"O")),NOT(EXACT(P218,"NA"))),CONCATENATE("c_reg_test_sel_",RIGHT(IF(B218=0,LOOKUP(2,1/($B$2:B218&lt;&gt;0),$B$2:B218),B218),LEN(IF(B218=0,LOOKUP(2,1/($B$2:B218&lt;&gt;0),$B$2:B218),B218))-FIND(".",IF(B218=0,LOOKUP(2,1/($B$2:B218&lt;&gt;0),$B$2:B218),B218))),IF(0,CONCATENATE("&amp; !c_test_reg_pin_disable_",RIGHT(IF(B218=0,LOOKUP(2,1/($B$2:B218&lt;&gt;0),$B$2:B218),B218),LEN(IF(B218=0,LOOKUP(2,1/($B$2:B218&lt;&gt;0),$B$2:B218),B218))-FIND(".",IF(B218=0,LOOKUP(2,1/($B$2:B218&lt;&gt;0),$B$2:B218),B218)))),""),IF(P218,CONCATENATE("_grp_",P218),""),"/","c_pad_",RIGHT(IF(B218=0,LOOKUP(2,1/($B$2:B218&lt;&gt;0),$B$2:B218),B218),LEN(IF(B218=0,LOOKUP(2,1/($B$2:B218&lt;&gt;0),$B$2:B218),B218))-FIND(".",IF(B218=0,LOOKUP(2,1/($B$2:B218&lt;&gt;0),$B$2:B218),B218))),"_",IF(ISNUMBER(SEARCH("[",D218)),LEFT(D218,FIND("[",D218)-1),D218)),"")</f>
        <v/>
      </c>
      <c r="P218" s="90" t="n"/>
      <c r="Q218" s="83" t="inlineStr">
        <is>
          <t>12 bit input data</t>
        </is>
      </c>
      <c r="R218" s="83" t="inlineStr">
        <is>
          <t xml:space="preserve"> 0x004D;0x004C</t>
        </is>
      </c>
      <c r="S218" s="83" t="inlineStr">
        <is>
          <t>[3:0];[7:0]</t>
        </is>
      </c>
      <c r="T218" s="83" t="n"/>
    </row>
    <row r="219">
      <c r="A219" s="72" t="inlineStr">
        <is>
          <t>dac_model.dac_inst</t>
        </is>
      </c>
      <c r="B219" s="133" t="n"/>
      <c r="C219" s="83" t="inlineStr">
        <is>
          <t>core_pd.core_pd_inst</t>
        </is>
      </c>
      <c r="D219" s="83" t="inlineStr">
        <is>
          <t>LI_EN</t>
        </is>
      </c>
      <c r="E219" s="83">
        <f>IF(AND(ISNUMBER(FIND("[",D219)),ISNUMBER(FIND("]",D219)),ISNUMBER(FIND(":",D219))),MID(D219,FIND("[",D219)+1,FIND(":",D219)-FIND("[",D219)-1)+1-MID(D219,FIND(":",D219)+1,FIND("]",D219)-FIND(":",D219)-1),IF(OR(ISNUMBER(FIND("[",D219)),ISNUMBER(FIND("]",D219)),ISNUMBER(FIND(":",D219))),"ERROR",1))</f>
        <v/>
      </c>
      <c r="F219" s="98" t="inlineStr">
        <is>
          <t>I</t>
        </is>
      </c>
      <c r="G219" s="83" t="n"/>
      <c r="H219" s="83" t="inlineStr">
        <is>
          <t>b0</t>
        </is>
      </c>
      <c r="I219" s="93" t="inlineStr">
        <is>
          <t>YES</t>
        </is>
      </c>
      <c r="J219" s="88" t="n"/>
      <c r="K219" s="88" t="n"/>
      <c r="L219" s="88" t="n"/>
      <c r="M219" s="89">
        <f>H219</f>
        <v/>
      </c>
      <c r="N219" s="88" t="n"/>
      <c r="O219" s="88">
        <f>IF(AND(OR(EXACT(F219,"I"),EXACT(F219,"O")),NOT(EXACT(P219,"NA"))),CONCATENATE("c_reg_test_sel_",RIGHT(IF(B219=0,LOOKUP(2,1/($B$2:B219&lt;&gt;0),$B$2:B219),B219),LEN(IF(B219=0,LOOKUP(2,1/($B$2:B219&lt;&gt;0),$B$2:B219),B219))-FIND(".",IF(B219=0,LOOKUP(2,1/($B$2:B219&lt;&gt;0),$B$2:B219),B219))),IF(0,CONCATENATE("&amp; !c_test_reg_pin_disable_",RIGHT(IF(B219=0,LOOKUP(2,1/($B$2:B219&lt;&gt;0),$B$2:B219),B219),LEN(IF(B219=0,LOOKUP(2,1/($B$2:B219&lt;&gt;0),$B$2:B219),B219))-FIND(".",IF(B219=0,LOOKUP(2,1/($B$2:B219&lt;&gt;0),$B$2:B219),B219)))),""),IF(P219,CONCATENATE("_grp_",P219),""),"/","c_pad_",RIGHT(IF(B219=0,LOOKUP(2,1/($B$2:B219&lt;&gt;0),$B$2:B219),B219),LEN(IF(B219=0,LOOKUP(2,1/($B$2:B219&lt;&gt;0),$B$2:B219),B219))-FIND(".",IF(B219=0,LOOKUP(2,1/($B$2:B219&lt;&gt;0),$B$2:B219),B219))),"_",IF(ISNUMBER(SEARCH("[",D219)),LEFT(D219,FIND("[",D219)-1),D219)),"")</f>
        <v/>
      </c>
      <c r="P219" s="90" t="n"/>
      <c r="Q219" s="83" t="inlineStr">
        <is>
          <t>DAC enable,when LI_EN=0,disable DAC ,OUT=0V</t>
        </is>
      </c>
      <c r="R219" s="83" t="inlineStr">
        <is>
          <t xml:space="preserve"> 0x004E</t>
        </is>
      </c>
      <c r="S219" s="83" t="inlineStr">
        <is>
          <t>[0]</t>
        </is>
      </c>
      <c r="T219" s="83" t="n"/>
    </row>
    <row r="220">
      <c r="A220" s="72" t="inlineStr">
        <is>
          <t>dac_model.dac_inst</t>
        </is>
      </c>
      <c r="B220" s="133" t="n"/>
      <c r="C220" s="83" t="inlineStr">
        <is>
          <t>core_pd.core_pd_inst</t>
        </is>
      </c>
      <c r="D220" s="83" t="inlineStr">
        <is>
          <t>LI_ENBUF</t>
        </is>
      </c>
      <c r="E220" s="83">
        <f>IF(AND(ISNUMBER(FIND("[",D220)),ISNUMBER(FIND("]",D220)),ISNUMBER(FIND(":",D220))),MID(D220,FIND("[",D220)+1,FIND(":",D220)-FIND("[",D220)-1)+1-MID(D220,FIND(":",D220)+1,FIND("]",D220)-FIND(":",D220)-1),IF(OR(ISNUMBER(FIND("[",D220)),ISNUMBER(FIND("]",D220)),ISNUMBER(FIND(":",D220))),"ERROR",1))</f>
        <v/>
      </c>
      <c r="F220" s="98" t="inlineStr">
        <is>
          <t>I</t>
        </is>
      </c>
      <c r="G220" s="83" t="n"/>
      <c r="H220" s="83" t="inlineStr">
        <is>
          <t>b1</t>
        </is>
      </c>
      <c r="I220" s="93" t="inlineStr">
        <is>
          <t>YES</t>
        </is>
      </c>
      <c r="J220" s="88" t="n"/>
      <c r="K220" s="88" t="n"/>
      <c r="L220" s="88" t="n"/>
      <c r="M220" s="89">
        <f>H220</f>
        <v/>
      </c>
      <c r="N220" s="88" t="n"/>
      <c r="O220" s="88">
        <f>IF(AND(OR(EXACT(F220,"I"),EXACT(F220,"O")),NOT(EXACT(P220,"NA"))),CONCATENATE("c_reg_test_sel_",RIGHT(IF(B220=0,LOOKUP(2,1/($B$2:B220&lt;&gt;0),$B$2:B220),B220),LEN(IF(B220=0,LOOKUP(2,1/($B$2:B220&lt;&gt;0),$B$2:B220),B220))-FIND(".",IF(B220=0,LOOKUP(2,1/($B$2:B220&lt;&gt;0),$B$2:B220),B220))),IF(0,CONCATENATE("&amp; !c_test_reg_pin_disable_",RIGHT(IF(B220=0,LOOKUP(2,1/($B$2:B220&lt;&gt;0),$B$2:B220),B220),LEN(IF(B220=0,LOOKUP(2,1/($B$2:B220&lt;&gt;0),$B$2:B220),B220))-FIND(".",IF(B220=0,LOOKUP(2,1/($B$2:B220&lt;&gt;0),$B$2:B220),B220)))),""),IF(P220,CONCATENATE("_grp_",P220),""),"/","c_pad_",RIGHT(IF(B220=0,LOOKUP(2,1/($B$2:B220&lt;&gt;0),$B$2:B220),B220),LEN(IF(B220=0,LOOKUP(2,1/($B$2:B220&lt;&gt;0),$B$2:B220),B220))-FIND(".",IF(B220=0,LOOKUP(2,1/($B$2:B220&lt;&gt;0),$B$2:B220),B220))),"_",IF(ISNUMBER(SEARCH("[",D220)),LEFT(D220,FIND("[",D220)-1),D220)),"")</f>
        <v/>
      </c>
      <c r="P220" s="90" t="n"/>
      <c r="Q220" s="83" t="inlineStr">
        <is>
          <t>Buffer enable,only when LI_EN=1 &amp; LI_ENBUF=1,  enable buffer，other case disable buffer</t>
        </is>
      </c>
      <c r="R220" s="83" t="inlineStr">
        <is>
          <t xml:space="preserve"> 0x004F</t>
        </is>
      </c>
      <c r="S220" s="83" t="inlineStr">
        <is>
          <t>[0]</t>
        </is>
      </c>
      <c r="T220" s="83" t="n"/>
    </row>
    <row r="221" hidden="1" s="26">
      <c r="A221" s="72" t="inlineStr">
        <is>
          <t>dac_model.dac_inst</t>
        </is>
      </c>
      <c r="B221" s="134" t="n"/>
      <c r="C221" s="83" t="inlineStr">
        <is>
          <t>TOP:dac_inst_DAC_OUT</t>
        </is>
      </c>
      <c r="D221" s="83" t="inlineStr">
        <is>
          <t>DAC_OUT</t>
        </is>
      </c>
      <c r="E221" s="83">
        <f>IF(AND(ISNUMBER(FIND("[",D221)),ISNUMBER(FIND("]",D221)),ISNUMBER(FIND(":",D221))),MID(D221,FIND("[",D221)+1,FIND(":",D221)-FIND("[",D221)-1)+1-MID(D221,FIND(":",D221)+1,FIND("]",D221)-FIND(":",D221)-1),IF(OR(ISNUMBER(FIND("[",D221)),ISNUMBER(FIND("]",D221)),ISNUMBER(FIND(":",D221))),"ERROR",1))</f>
        <v/>
      </c>
      <c r="F221" s="98" t="inlineStr">
        <is>
          <t>A</t>
        </is>
      </c>
      <c r="G221" s="83" t="n"/>
      <c r="H221" s="83" t="n"/>
      <c r="I221" s="102" t="n"/>
      <c r="M221" s="72" t="n"/>
      <c r="P221" s="72" t="n"/>
      <c r="Q221" s="102" t="inlineStr">
        <is>
          <t>Analog output</t>
        </is>
      </c>
      <c r="R221" s="83" t="n"/>
      <c r="S221" s="83" t="n"/>
      <c r="T221" s="83" t="n"/>
    </row>
    <row r="222" hidden="1" s="26">
      <c r="A222" s="72" t="inlineStr">
        <is>
          <t>osc48m_model.osc48m_inst</t>
        </is>
      </c>
      <c r="B222" s="83" t="inlineStr">
        <is>
          <t>osc48m_model.osc48m_inst</t>
        </is>
      </c>
      <c r="C222" s="83" t="inlineStr">
        <is>
          <t>TOP:VSSD</t>
        </is>
      </c>
      <c r="D222" s="83" t="inlineStr">
        <is>
          <t>DVSS</t>
        </is>
      </c>
      <c r="E222" s="83">
        <f>IF(AND(ISNUMBER(FIND("[",D222)),ISNUMBER(FIND("]",D222)),ISNUMBER(FIND(":",D222))),MID(D222,FIND("[",D222)+1,FIND(":",D222)-FIND("[",D222)-1)+1-MID(D222,FIND(":",D222)+1,FIND("]",D222)-FIND(":",D222)-1),IF(OR(ISNUMBER(FIND("[",D222)),ISNUMBER(FIND("]",D222)),ISNUMBER(FIND(":",D222))),"ERROR",1))</f>
        <v/>
      </c>
      <c r="F222" s="98" t="inlineStr">
        <is>
          <t>G</t>
        </is>
      </c>
      <c r="G222" s="83" t="n"/>
      <c r="H222" s="83" t="n"/>
      <c r="I222" s="83" t="n"/>
      <c r="M222" s="72" t="n"/>
      <c r="P222" s="72" t="n"/>
      <c r="Q222" s="90" t="inlineStr">
        <is>
          <t>Analog ground</t>
        </is>
      </c>
      <c r="R222" s="83" t="n"/>
      <c r="S222" s="83" t="n"/>
      <c r="T222" s="83" t="n"/>
    </row>
    <row r="223" hidden="1" s="26">
      <c r="A223" s="72" t="inlineStr">
        <is>
          <t>osc48m_model.osc49m_inst</t>
        </is>
      </c>
      <c r="B223" s="133" t="n"/>
      <c r="C223" s="83" t="inlineStr">
        <is>
          <t>TOP:pmu_inst_V12M</t>
        </is>
      </c>
      <c r="D223" s="83" t="inlineStr">
        <is>
          <t>DVDD12</t>
        </is>
      </c>
      <c r="E223" s="83">
        <f>IF(AND(ISNUMBER(FIND("[",D223)),ISNUMBER(FIND("]",D223)),ISNUMBER(FIND(":",D223))),MID(D223,FIND("[",D223)+1,FIND(":",D223)-FIND("[",D223)-1)+1-MID(D223,FIND(":",D223)+1,FIND("]",D223)-FIND(":",D223)-1),IF(OR(ISNUMBER(FIND("[",D223)),ISNUMBER(FIND("]",D223)),ISNUMBER(FIND(":",D223))),"ERROR",1))</f>
        <v/>
      </c>
      <c r="F223" s="98" t="inlineStr">
        <is>
          <t>P</t>
        </is>
      </c>
      <c r="G223" s="83" t="n"/>
      <c r="H223" s="83" t="n"/>
      <c r="I223" s="83" t="n"/>
      <c r="M223" s="72" t="n"/>
      <c r="P223" s="72" t="n"/>
      <c r="Q223" s="90" t="inlineStr">
        <is>
          <t>Digital 1.5V power supply</t>
        </is>
      </c>
      <c r="R223" s="83" t="n"/>
      <c r="S223" s="83" t="n"/>
      <c r="T223" s="83" t="n"/>
    </row>
    <row r="224" hidden="1" s="26">
      <c r="A224" s="72" t="inlineStr">
        <is>
          <t>osc48m_model.osc50m_inst</t>
        </is>
      </c>
      <c r="B224" s="133" t="n"/>
      <c r="C224" s="83" t="inlineStr">
        <is>
          <t>TOP:VCC5V</t>
        </is>
      </c>
      <c r="D224" s="83" t="inlineStr">
        <is>
          <t>AVCC5</t>
        </is>
      </c>
      <c r="E224" s="83">
        <f>IF(AND(ISNUMBER(FIND("[",D224)),ISNUMBER(FIND("]",D224)),ISNUMBER(FIND(":",D224))),MID(D224,FIND("[",D224)+1,FIND(":",D224)-FIND("[",D224)-1)+1-MID(D224,FIND(":",D224)+1,FIND("]",D224)-FIND(":",D224)-1),IF(OR(ISNUMBER(FIND("[",D224)),ISNUMBER(FIND("]",D224)),ISNUMBER(FIND(":",D224))),"ERROR",1))</f>
        <v/>
      </c>
      <c r="F224" s="98" t="inlineStr">
        <is>
          <t>P</t>
        </is>
      </c>
      <c r="G224" s="93" t="inlineStr">
        <is>
          <t>5V</t>
        </is>
      </c>
      <c r="H224" s="83" t="n"/>
      <c r="I224" s="83" t="n"/>
      <c r="M224" s="72" t="n"/>
      <c r="P224" s="72" t="n"/>
      <c r="Q224" s="90" t="inlineStr">
        <is>
          <t>Analog 5V power  supply</t>
        </is>
      </c>
      <c r="R224" s="83" t="n"/>
      <c r="S224" s="83" t="n"/>
      <c r="T224" s="83" t="n"/>
    </row>
    <row r="225" hidden="1" s="26">
      <c r="A225" s="72" t="inlineStr">
        <is>
          <t>osc48m_model.osc51m_inst</t>
        </is>
      </c>
      <c r="B225" s="133" t="n"/>
      <c r="C225" s="83" t="inlineStr">
        <is>
          <t>TOP:VSSA</t>
        </is>
      </c>
      <c r="D225" s="83" t="inlineStr">
        <is>
          <t>AVSS</t>
        </is>
      </c>
      <c r="E225" s="83">
        <f>IF(AND(ISNUMBER(FIND("[",D225)),ISNUMBER(FIND("]",D225)),ISNUMBER(FIND(":",D225))),MID(D225,FIND("[",D225)+1,FIND(":",D225)-FIND("[",D225)-1)+1-MID(D225,FIND(":",D225)+1,FIND("]",D225)-FIND(":",D225)-1),IF(OR(ISNUMBER(FIND("[",D225)),ISNUMBER(FIND("]",D225)),ISNUMBER(FIND(":",D225))),"ERROR",1))</f>
        <v/>
      </c>
      <c r="F225" s="98" t="inlineStr">
        <is>
          <t>G</t>
        </is>
      </c>
      <c r="G225" s="83" t="n"/>
      <c r="H225" s="83" t="n"/>
      <c r="I225" s="83" t="n"/>
      <c r="M225" s="72" t="n"/>
      <c r="P225" s="72" t="n"/>
      <c r="Q225" s="90" t="inlineStr">
        <is>
          <t>Analog ground</t>
        </is>
      </c>
      <c r="R225" s="83" t="n"/>
      <c r="S225" s="83" t="n"/>
      <c r="T225" s="83" t="n"/>
    </row>
    <row r="226" hidden="1" s="26">
      <c r="A226" s="72" t="inlineStr">
        <is>
          <t>osc48m_model.osc52m_inst</t>
        </is>
      </c>
      <c r="B226" s="133" t="n"/>
      <c r="C226" s="83" t="inlineStr">
        <is>
          <t>TOP:osc48m_inst_POC_VCC5</t>
        </is>
      </c>
      <c r="D226" s="83" t="inlineStr">
        <is>
          <t>POC_VCC5</t>
        </is>
      </c>
      <c r="E226" s="83">
        <f>IF(AND(ISNUMBER(FIND("[",D226)),ISNUMBER(FIND("]",D226)),ISNUMBER(FIND(":",D226))),MID(D226,FIND("[",D226)+1,FIND(":",D226)-FIND("[",D226)-1)+1-MID(D226,FIND(":",D226)+1,FIND("]",D226)-FIND(":",D226)-1),IF(OR(ISNUMBER(FIND("[",D226)),ISNUMBER(FIND("]",D226)),ISNUMBER(FIND(":",D226))),"ERROR",1))</f>
        <v/>
      </c>
      <c r="F226" s="98" t="inlineStr">
        <is>
          <t>A</t>
        </is>
      </c>
      <c r="G226" s="83" t="n"/>
      <c r="H226" s="83" t="n"/>
      <c r="I226" s="83" t="n"/>
      <c r="M226" s="72" t="n"/>
      <c r="P226" s="72" t="n"/>
      <c r="Q226" s="90" t="inlineStr">
        <is>
          <t>POC信号, 来自PMU POR</t>
        </is>
      </c>
      <c r="R226" s="83" t="n"/>
      <c r="S226" s="83" t="n"/>
      <c r="T226" s="83" t="n"/>
    </row>
    <row r="227">
      <c r="A227" s="72" t="inlineStr">
        <is>
          <t>osc48m_model.osc53m_inst</t>
        </is>
      </c>
      <c r="B227" s="133" t="n"/>
      <c r="C227" s="83" t="inlineStr">
        <is>
          <t>core_pd.core_pd_inst</t>
        </is>
      </c>
      <c r="D227" s="83" t="inlineStr">
        <is>
          <t>LI_RC48M_EN</t>
        </is>
      </c>
      <c r="E227" s="83">
        <f>IF(AND(ISNUMBER(FIND("[",D227)),ISNUMBER(FIND("]",D227)),ISNUMBER(FIND(":",D227))),MID(D227,FIND("[",D227)+1,FIND(":",D227)-FIND("[",D227)-1)+1-MID(D227,FIND(":",D227)+1,FIND("]",D227)-FIND(":",D227)-1),IF(OR(ISNUMBER(FIND("[",D227)),ISNUMBER(FIND("]",D227)),ISNUMBER(FIND(":",D227))),"ERROR",1))</f>
        <v/>
      </c>
      <c r="F227" s="98" t="inlineStr">
        <is>
          <t>I</t>
        </is>
      </c>
      <c r="G227" s="83" t="n"/>
      <c r="H227" s="83" t="inlineStr">
        <is>
          <t>b0</t>
        </is>
      </c>
      <c r="I227" s="93" t="inlineStr">
        <is>
          <t>YES</t>
        </is>
      </c>
      <c r="J227" s="88" t="n"/>
      <c r="K227" s="88" t="n"/>
      <c r="L227" s="88" t="n"/>
      <c r="M227" s="89">
        <f>H227</f>
        <v/>
      </c>
      <c r="N227" s="88" t="n"/>
      <c r="O227" s="88">
        <f>IF(AND(OR(EXACT(F227,"I"),EXACT(F227,"O")),NOT(EXACT(P227,"NA"))),CONCATENATE("c_reg_test_sel_",RIGHT(IF(B227=0,LOOKUP(2,1/($B$2:B227&lt;&gt;0),$B$2:B227),B227),LEN(IF(B227=0,LOOKUP(2,1/($B$2:B227&lt;&gt;0),$B$2:B227),B227))-FIND(".",IF(B227=0,LOOKUP(2,1/($B$2:B227&lt;&gt;0),$B$2:B227),B227))),IF(0,CONCATENATE("&amp; !c_test_reg_pin_disable_",RIGHT(IF(B227=0,LOOKUP(2,1/($B$2:B227&lt;&gt;0),$B$2:B227),B227),LEN(IF(B227=0,LOOKUP(2,1/($B$2:B227&lt;&gt;0),$B$2:B227),B227))-FIND(".",IF(B227=0,LOOKUP(2,1/($B$2:B227&lt;&gt;0),$B$2:B227),B227)))),""),IF(P227,CONCATENATE("_grp_",P227),""),"/","c_pad_",RIGHT(IF(B227=0,LOOKUP(2,1/($B$2:B227&lt;&gt;0),$B$2:B227),B227),LEN(IF(B227=0,LOOKUP(2,1/($B$2:B227&lt;&gt;0),$B$2:B227),B227))-FIND(".",IF(B227=0,LOOKUP(2,1/($B$2:B227&lt;&gt;0),$B$2:B227),B227))),"_",IF(ISNUMBER(SEARCH("[",D227)),LEFT(D227,FIND("[",D227)-1),D227)),"")</f>
        <v/>
      </c>
      <c r="P227" s="90" t="n"/>
      <c r="Q227" s="90" t="inlineStr">
        <is>
          <t>振荡器使能，1有效</t>
        </is>
      </c>
      <c r="R227" s="83" t="inlineStr">
        <is>
          <t xml:space="preserve"> 0x0053</t>
        </is>
      </c>
      <c r="S227" s="83" t="inlineStr">
        <is>
          <t>[0]</t>
        </is>
      </c>
      <c r="T227" s="83" t="n"/>
    </row>
    <row r="228">
      <c r="A228" s="72" t="inlineStr">
        <is>
          <t>osc48m_model.osc54m_inst</t>
        </is>
      </c>
      <c r="B228" s="133" t="n"/>
      <c r="C228" s="83" t="inlineStr">
        <is>
          <t>core_pd.core_pd_inst</t>
        </is>
      </c>
      <c r="D228" s="77" t="inlineStr">
        <is>
          <t>LI_RC48M_FOTP[9:0]</t>
        </is>
      </c>
      <c r="E228" s="83">
        <f>IF(AND(ISNUMBER(FIND("[",D228)),ISNUMBER(FIND("]",D228)),ISNUMBER(FIND(":",D228))),MID(D228,FIND("[",D228)+1,FIND(":",D228)-FIND("[",D228)-1)+1-MID(D228,FIND(":",D228)+1,FIND("]",D228)-FIND(":",D228)-1),IF(OR(ISNUMBER(FIND("[",D228)),ISNUMBER(FIND("]",D228)),ISNUMBER(FIND(":",D228))),"ERROR",1))</f>
        <v/>
      </c>
      <c r="F228" s="98" t="inlineStr">
        <is>
          <t>I</t>
        </is>
      </c>
      <c r="G228" s="83" t="n"/>
      <c r="H228" s="104" t="inlineStr">
        <is>
          <t>b0100001110</t>
        </is>
      </c>
      <c r="I228" s="93" t="inlineStr">
        <is>
          <t>YES</t>
        </is>
      </c>
      <c r="J228" s="88" t="n"/>
      <c r="K228" s="88" t="n"/>
      <c r="L228" s="88" t="n"/>
      <c r="M228" s="89">
        <f>H228</f>
        <v/>
      </c>
      <c r="N228" s="88" t="n"/>
      <c r="O228" s="88">
        <f>IF(AND(OR(EXACT(F228,"I"),EXACT(F228,"O")),NOT(EXACT(P228,"NA"))),CONCATENATE("c_reg_test_sel_",RIGHT(IF(B228=0,LOOKUP(2,1/($B$2:B228&lt;&gt;0),$B$2:B228),B228),LEN(IF(B228=0,LOOKUP(2,1/($B$2:B228&lt;&gt;0),$B$2:B228),B228))-FIND(".",IF(B228=0,LOOKUP(2,1/($B$2:B228&lt;&gt;0),$B$2:B228),B228))),IF(0,CONCATENATE("&amp; !c_test_reg_pin_disable_",RIGHT(IF(B228=0,LOOKUP(2,1/($B$2:B228&lt;&gt;0),$B$2:B228),B228),LEN(IF(B228=0,LOOKUP(2,1/($B$2:B228&lt;&gt;0),$B$2:B228),B228))-FIND(".",IF(B228=0,LOOKUP(2,1/($B$2:B228&lt;&gt;0),$B$2:B228),B228)))),""),IF(P228,CONCATENATE("_grp_",P228),""),"/","c_pad_",RIGHT(IF(B228=0,LOOKUP(2,1/($B$2:B228&lt;&gt;0),$B$2:B228),B228),LEN(IF(B228=0,LOOKUP(2,1/($B$2:B228&lt;&gt;0),$B$2:B228),B228))-FIND(".",IF(B228=0,LOOKUP(2,1/($B$2:B228&lt;&gt;0),$B$2:B228),B228))),"_",IF(ISNUMBER(SEARCH("[",D228)),LEFT(D228,FIND("[",D228)-1),D228)),"")</f>
        <v/>
      </c>
      <c r="P228" s="90" t="n"/>
      <c r="Q228" s="90" t="inlineStr">
        <is>
          <t>振荡器频率微调</t>
        </is>
      </c>
      <c r="R228" s="83" t="inlineStr">
        <is>
          <t xml:space="preserve"> 0x0051;  0x0050</t>
        </is>
      </c>
      <c r="S228" s="83" t="inlineStr">
        <is>
          <t>[0];[7:0]</t>
        </is>
      </c>
      <c r="T228" s="83" t="n"/>
    </row>
    <row r="229">
      <c r="A229" s="72" t="inlineStr">
        <is>
          <t>osc48m_model.osc55m_inst</t>
        </is>
      </c>
      <c r="B229" s="133" t="n"/>
      <c r="C229" s="83" t="inlineStr">
        <is>
          <t>core_pd.core_pd_inst</t>
        </is>
      </c>
      <c r="D229" s="83" t="inlineStr">
        <is>
          <t>LI_RC48M_TC[3:0]</t>
        </is>
      </c>
      <c r="E229" s="83">
        <f>IF(AND(ISNUMBER(FIND("[",D229)),ISNUMBER(FIND("]",D229)),ISNUMBER(FIND(":",D229))),MID(D229,FIND("[",D229)+1,FIND(":",D229)-FIND("[",D229)-1)+1-MID(D229,FIND(":",D229)+1,FIND("]",D229)-FIND(":",D229)-1),IF(OR(ISNUMBER(FIND("[",D229)),ISNUMBER(FIND("]",D229)),ISNUMBER(FIND(":",D229))),"ERROR",1))</f>
        <v/>
      </c>
      <c r="F229" s="98" t="inlineStr">
        <is>
          <t>I</t>
        </is>
      </c>
      <c r="G229" s="83" t="n"/>
      <c r="H229" s="83" t="inlineStr">
        <is>
          <t>b1000</t>
        </is>
      </c>
      <c r="I229" s="93" t="inlineStr">
        <is>
          <t>YES</t>
        </is>
      </c>
      <c r="J229" s="88" t="n"/>
      <c r="K229" s="88" t="n"/>
      <c r="L229" s="88" t="n"/>
      <c r="M229" s="89">
        <f>H229</f>
        <v/>
      </c>
      <c r="N229" s="88" t="n"/>
      <c r="O229" s="88">
        <f>IF(AND(OR(EXACT(F229,"I"),EXACT(F229,"O")),NOT(EXACT(P229,"NA"))),CONCATENATE("c_reg_test_sel_",RIGHT(IF(B229=0,LOOKUP(2,1/($B$2:B229&lt;&gt;0),$B$2:B229),B229),LEN(IF(B229=0,LOOKUP(2,1/($B$2:B229&lt;&gt;0),$B$2:B229),B229))-FIND(".",IF(B229=0,LOOKUP(2,1/($B$2:B229&lt;&gt;0),$B$2:B229),B229))),IF(0,CONCATENATE("&amp; !c_test_reg_pin_disable_",RIGHT(IF(B229=0,LOOKUP(2,1/($B$2:B229&lt;&gt;0),$B$2:B229),B229),LEN(IF(B229=0,LOOKUP(2,1/($B$2:B229&lt;&gt;0),$B$2:B229),B229))-FIND(".",IF(B229=0,LOOKUP(2,1/($B$2:B229&lt;&gt;0),$B$2:B229),B229)))),""),IF(P229,CONCATENATE("_grp_",P229),""),"/","c_pad_",RIGHT(IF(B229=0,LOOKUP(2,1/($B$2:B229&lt;&gt;0),$B$2:B229),B229),LEN(IF(B229=0,LOOKUP(2,1/($B$2:B229&lt;&gt;0),$B$2:B229),B229))-FIND(".",IF(B229=0,LOOKUP(2,1/($B$2:B229&lt;&gt;0),$B$2:B229),B229))),"_",IF(ISNUMBER(SEARCH("[",D229)),LEFT(D229,FIND("[",D229)-1),D229)),"")</f>
        <v/>
      </c>
      <c r="P229" s="90" t="n"/>
      <c r="Q229" s="90" t="inlineStr">
        <is>
          <t>振荡器频率温漂调节</t>
        </is>
      </c>
      <c r="R229" s="83" t="inlineStr">
        <is>
          <t xml:space="preserve"> 0x0052</t>
        </is>
      </c>
      <c r="S229" s="83" t="inlineStr">
        <is>
          <t>[3:0]</t>
        </is>
      </c>
      <c r="T229" s="83" t="n"/>
    </row>
    <row r="230">
      <c r="A230" s="72" t="inlineStr">
        <is>
          <t>osc48m_model.osc56m_inst</t>
        </is>
      </c>
      <c r="B230" s="133" t="n"/>
      <c r="C230" s="83" t="inlineStr">
        <is>
          <t>core_pd.core_pd_inst</t>
        </is>
      </c>
      <c r="D230" s="83" t="inlineStr">
        <is>
          <t>LI_RC48M_FSEL[1:0]</t>
        </is>
      </c>
      <c r="E230" s="83">
        <f>IF(AND(ISNUMBER(FIND("[",D230)),ISNUMBER(FIND("]",D230)),ISNUMBER(FIND(":",D230))),MID(D230,FIND("[",D230)+1,FIND(":",D230)-FIND("[",D230)-1)+1-MID(D230,FIND(":",D230)+1,FIND("]",D230)-FIND(":",D230)-1),IF(OR(ISNUMBER(FIND("[",D230)),ISNUMBER(FIND("]",D230)),ISNUMBER(FIND(":",D230))),"ERROR",1))</f>
        <v/>
      </c>
      <c r="F230" s="98" t="inlineStr">
        <is>
          <t>I</t>
        </is>
      </c>
      <c r="G230" s="83" t="n"/>
      <c r="H230" s="83" t="inlineStr">
        <is>
          <t>b11</t>
        </is>
      </c>
      <c r="I230" s="93" t="inlineStr">
        <is>
          <t>YES</t>
        </is>
      </c>
      <c r="J230" s="88" t="n"/>
      <c r="K230" s="88" t="n"/>
      <c r="L230" s="88" t="n"/>
      <c r="M230" s="89">
        <f>H230</f>
        <v/>
      </c>
      <c r="N230" s="88" t="n"/>
      <c r="O230" s="88">
        <f>IF(AND(OR(EXACT(F230,"I"),EXACT(F230,"O")),NOT(EXACT(P230,"NA"))),CONCATENATE("c_reg_test_sel_",RIGHT(IF(B230=0,LOOKUP(2,1/($B$2:B230&lt;&gt;0),$B$2:B230),B230),LEN(IF(B230=0,LOOKUP(2,1/($B$2:B230&lt;&gt;0),$B$2:B230),B230))-FIND(".",IF(B230=0,LOOKUP(2,1/($B$2:B230&lt;&gt;0),$B$2:B230),B230))),IF(0,CONCATENATE("&amp; !c_test_reg_pin_disable_",RIGHT(IF(B230=0,LOOKUP(2,1/($B$2:B230&lt;&gt;0),$B$2:B230),B230),LEN(IF(B230=0,LOOKUP(2,1/($B$2:B230&lt;&gt;0),$B$2:B230),B230))-FIND(".",IF(B230=0,LOOKUP(2,1/($B$2:B230&lt;&gt;0),$B$2:B230),B230)))),""),IF(P230,CONCATENATE("_grp_",P230),""),"/","c_pad_",RIGHT(IF(B230=0,LOOKUP(2,1/($B$2:B230&lt;&gt;0),$B$2:B230),B230),LEN(IF(B230=0,LOOKUP(2,1/($B$2:B230&lt;&gt;0),$B$2:B230),B230))-FIND(".",IF(B230=0,LOOKUP(2,1/($B$2:B230&lt;&gt;0),$B$2:B230),B230))),"_",IF(ISNUMBER(SEARCH("[",D230)),LEFT(D230,FIND("[",D230)-1),D230)),"")</f>
        <v/>
      </c>
      <c r="P230" s="90" t="n"/>
      <c r="Q230" s="90" t="inlineStr">
        <is>
          <t>振荡器频率挡位选择</t>
        </is>
      </c>
      <c r="R230" s="83" t="inlineStr">
        <is>
          <t xml:space="preserve"> 0x0052</t>
        </is>
      </c>
      <c r="S230" s="83" t="inlineStr">
        <is>
          <t>[5:4]</t>
        </is>
      </c>
      <c r="T230" s="83" t="n"/>
    </row>
    <row r="231" hidden="1" s="26">
      <c r="A231" s="72" t="inlineStr">
        <is>
          <t>osc48m_model.osc57m_inst</t>
        </is>
      </c>
      <c r="B231" s="133" t="n"/>
      <c r="C231" s="83" t="inlineStr">
        <is>
          <t>TOP:pmu_inst_Ibias_1u[2]</t>
        </is>
      </c>
      <c r="D231" s="83" t="inlineStr">
        <is>
          <t>IB_IU</t>
        </is>
      </c>
      <c r="E231" s="83">
        <f>IF(AND(ISNUMBER(FIND("[",D231)),ISNUMBER(FIND("]",D231)),ISNUMBER(FIND(":",D231))),MID(D231,FIND("[",D231)+1,FIND(":",D231)-FIND("[",D231)-1)+1-MID(D231,FIND(":",D231)+1,FIND("]",D231)-FIND(":",D231)-1),IF(OR(ISNUMBER(FIND("[",D231)),ISNUMBER(FIND("]",D231)),ISNUMBER(FIND(":",D231))),"ERROR",1))</f>
        <v/>
      </c>
      <c r="F231" s="98" t="inlineStr">
        <is>
          <t>A</t>
        </is>
      </c>
      <c r="G231" s="83" t="n"/>
      <c r="H231" s="83" t="n"/>
      <c r="I231" s="102" t="n"/>
      <c r="M231" s="72" t="n"/>
      <c r="P231" s="72" t="n"/>
      <c r="Q231" s="123" t="inlineStr">
        <is>
          <t>偏置电流1uA</t>
        </is>
      </c>
      <c r="R231" s="83" t="n"/>
      <c r="S231" s="83" t="n"/>
      <c r="T231" s="83" t="n"/>
    </row>
    <row r="232" hidden="1" s="26">
      <c r="A232" s="72" t="inlineStr">
        <is>
          <t>osc48m_model.osc58m_inst</t>
        </is>
      </c>
      <c r="B232" s="133" t="n"/>
      <c r="C232" s="83" t="inlineStr">
        <is>
          <t>TOP:pmu_inst_VREF1P2</t>
        </is>
      </c>
      <c r="D232" s="83" t="inlineStr">
        <is>
          <t>VREF_1P2</t>
        </is>
      </c>
      <c r="E232" s="83">
        <f>IF(AND(ISNUMBER(FIND("[",D232)),ISNUMBER(FIND("]",D232)),ISNUMBER(FIND(":",D232))),MID(D232,FIND("[",D232)+1,FIND(":",D232)-FIND("[",D232)-1)+1-MID(D232,FIND(":",D232)+1,FIND("]",D232)-FIND(":",D232)-1),IF(OR(ISNUMBER(FIND("[",D232)),ISNUMBER(FIND("]",D232)),ISNUMBER(FIND(":",D232))),"ERROR",1))</f>
        <v/>
      </c>
      <c r="F232" s="98" t="inlineStr">
        <is>
          <t>A</t>
        </is>
      </c>
      <c r="G232" s="83" t="n"/>
      <c r="H232" s="83" t="n"/>
      <c r="I232" s="83" t="n"/>
      <c r="M232" s="72" t="n"/>
      <c r="P232" s="72" t="n"/>
      <c r="Q232" s="90" t="inlineStr">
        <is>
          <t>参考电压1.5V, 来自PMU</t>
        </is>
      </c>
      <c r="R232" s="83" t="n"/>
      <c r="S232" s="83" t="n"/>
      <c r="T232" s="83" t="n"/>
    </row>
    <row r="233" hidden="1" s="26">
      <c r="A233" s="72" t="inlineStr">
        <is>
          <t>osc48m_model.osc59m_inst</t>
        </is>
      </c>
      <c r="B233" s="134" t="n"/>
      <c r="C233" s="83" t="inlineStr">
        <is>
          <t>core_pd.core_pd_inst</t>
        </is>
      </c>
      <c r="D233" s="83" t="inlineStr">
        <is>
          <t>LO_RC48M_CLKOUT</t>
        </is>
      </c>
      <c r="E233" s="83">
        <f>IF(AND(ISNUMBER(FIND("[",D233)),ISNUMBER(FIND("]",D233)),ISNUMBER(FIND(":",D233))),MID(D233,FIND("[",D233)+1,FIND(":",D233)-FIND("[",D233)-1)+1-MID(D233,FIND(":",D233)+1,FIND("]",D233)-FIND(":",D233)-1),IF(OR(ISNUMBER(FIND("[",D233)),ISNUMBER(FIND("]",D233)),ISNUMBER(FIND(":",D233))),"ERROR",1))</f>
        <v/>
      </c>
      <c r="F233" s="98" t="inlineStr">
        <is>
          <t>O</t>
        </is>
      </c>
      <c r="G233" s="83" t="n"/>
      <c r="H233" s="83" t="n"/>
      <c r="I233" s="83" t="inlineStr">
        <is>
          <t>NO</t>
        </is>
      </c>
      <c r="J233" s="88" t="n"/>
      <c r="K233" s="88" t="n"/>
      <c r="L233" s="88" t="n"/>
      <c r="M233" s="89">
        <f>H233</f>
        <v/>
      </c>
      <c r="N233" s="88" t="inlineStr">
        <is>
          <t>NONE</t>
        </is>
      </c>
      <c r="O233" s="88">
        <f>IF(AND(OR(EXACT(F233,"I"),EXACT(F233,"O")),NOT(EXACT(P233,"NA"))),CONCATENATE("c_reg_test_sel_",RIGHT(IF(B233=0,LOOKUP(2,1/($B$2:B233&lt;&gt;0),$B$2:B233),B233),LEN(IF(B233=0,LOOKUP(2,1/($B$2:B233&lt;&gt;0),$B$2:B233),B233))-FIND(".",IF(B233=0,LOOKUP(2,1/($B$2:B233&lt;&gt;0),$B$2:B233),B233))),IF(0,CONCATENATE("&amp; !c_test_reg_pin_disable_",RIGHT(IF(B233=0,LOOKUP(2,1/($B$2:B233&lt;&gt;0),$B$2:B233),B233),LEN(IF(B233=0,LOOKUP(2,1/($B$2:B233&lt;&gt;0),$B$2:B233),B233))-FIND(".",IF(B233=0,LOOKUP(2,1/($B$2:B233&lt;&gt;0),$B$2:B233),B233)))),""),IF(P233,CONCATENATE("_grp_",P233),""),"/","c_pad_",RIGHT(IF(B233=0,LOOKUP(2,1/($B$2:B233&lt;&gt;0),$B$2:B233),B233),LEN(IF(B233=0,LOOKUP(2,1/($B$2:B233&lt;&gt;0),$B$2:B233),B233))-FIND(".",IF(B233=0,LOOKUP(2,1/($B$2:B233&lt;&gt;0),$B$2:B233),B233))),"_",IF(ISNUMBER(SEARCH("[",D233)),LEFT(D233,FIND("[",D233)-1),D233)),"")</f>
        <v/>
      </c>
      <c r="P233" s="90" t="n"/>
      <c r="Q233" s="83" t="inlineStr">
        <is>
          <t>振荡器时钟输出</t>
        </is>
      </c>
      <c r="R233" s="83" t="n"/>
      <c r="S233" s="83" t="n"/>
      <c r="T233" s="83" t="n"/>
    </row>
    <row r="234">
      <c r="A234" s="72" t="inlineStr">
        <is>
          <t>top_model.top_inst</t>
        </is>
      </c>
      <c r="B234" s="83" t="inlineStr">
        <is>
          <t>top_model.top_inst</t>
        </is>
      </c>
      <c r="C234" s="83" t="inlineStr">
        <is>
          <t>core_pd.core_pd_inst</t>
        </is>
      </c>
      <c r="D234" s="83" t="inlineStr">
        <is>
          <t>top_mux[3:0]</t>
        </is>
      </c>
      <c r="E234" s="83">
        <f>IF(AND(ISNUMBER(FIND("[",D234)),ISNUMBER(FIND("]",D234)),ISNUMBER(FIND(":",D234))),MID(D234,FIND("[",D234)+1,FIND(":",D234)-FIND("[",D234)-1)+1-MID(D234,FIND(":",D234)+1,FIND("]",D234)-FIND(":",D234)-1),IF(OR(ISNUMBER(FIND("[",D234)),ISNUMBER(FIND("]",D234)),ISNUMBER(FIND(":",D234))),"ERROR",1))</f>
        <v/>
      </c>
      <c r="F234" s="98" t="inlineStr">
        <is>
          <t>I</t>
        </is>
      </c>
      <c r="G234" s="83" t="n"/>
      <c r="H234" s="83" t="inlineStr">
        <is>
          <t>b0000</t>
        </is>
      </c>
      <c r="I234" s="93" t="inlineStr">
        <is>
          <t>YES</t>
        </is>
      </c>
      <c r="J234" s="88" t="n"/>
      <c r="K234" s="88" t="n"/>
      <c r="L234" s="88" t="n"/>
      <c r="M234" s="89">
        <f>H234</f>
        <v/>
      </c>
      <c r="N234" s="88" t="n"/>
      <c r="O234" s="88">
        <f>IF(AND(OR(EXACT(F234,"I"),EXACT(F234,"O")),NOT(EXACT(P234,"NA"))),CONCATENATE("c_reg_test_sel_",RIGHT(IF(B234=0,LOOKUP(2,1/($B$2:B234&lt;&gt;0),$B$2:B234),B234),LEN(IF(B234=0,LOOKUP(2,1/($B$2:B234&lt;&gt;0),$B$2:B234),B234))-FIND(".",IF(B234=0,LOOKUP(2,1/($B$2:B234&lt;&gt;0),$B$2:B234),B234))),IF(0,CONCATENATE("&amp; !c_test_reg_pin_disable_",RIGHT(IF(B234=0,LOOKUP(2,1/($B$2:B234&lt;&gt;0),$B$2:B234),B234),LEN(IF(B234=0,LOOKUP(2,1/($B$2:B234&lt;&gt;0),$B$2:B234),B234))-FIND(".",IF(B234=0,LOOKUP(2,1/($B$2:B234&lt;&gt;0),$B$2:B234),B234)))),""),IF(P234,CONCATENATE("_grp_",P234),""),"/","c_pad_",RIGHT(IF(B234=0,LOOKUP(2,1/($B$2:B234&lt;&gt;0),$B$2:B234),B234),LEN(IF(B234=0,LOOKUP(2,1/($B$2:B234&lt;&gt;0),$B$2:B234),B234))-FIND(".",IF(B234=0,LOOKUP(2,1/($B$2:B234&lt;&gt;0),$B$2:B234),B234))),"_",IF(ISNUMBER(SEARCH("[",D234)),LEFT(D234,FIND("[",D234)-1),D234)),"")</f>
        <v/>
      </c>
      <c r="P234" s="90" t="inlineStr">
        <is>
          <t>NA</t>
        </is>
      </c>
      <c r="Q234" s="83" t="n"/>
      <c r="R234" s="83" t="inlineStr">
        <is>
          <t xml:space="preserve"> 0x0054</t>
        </is>
      </c>
      <c r="S234" s="83" t="inlineStr">
        <is>
          <t>[3:0]</t>
        </is>
      </c>
      <c r="T234" s="83" t="n"/>
    </row>
    <row r="235" ht="47.25" customHeight="1" s="26">
      <c r="A235" s="72" t="inlineStr">
        <is>
          <t>top_model.top_inst</t>
        </is>
      </c>
      <c r="B235" s="133" t="n"/>
      <c r="C235" s="83" t="inlineStr">
        <is>
          <t>core_pd.core_pd_inst</t>
        </is>
      </c>
      <c r="D235" s="83" t="inlineStr">
        <is>
          <t>top_reg[31:0]</t>
        </is>
      </c>
      <c r="E235" s="83">
        <f>IF(AND(ISNUMBER(FIND("[",D235)),ISNUMBER(FIND("]",D235)),ISNUMBER(FIND(":",D235))),MID(D235,FIND("[",D235)+1,FIND(":",D235)-FIND("[",D235)-1)+1-MID(D235,FIND(":",D235)+1,FIND("]",D235)-FIND(":",D235)-1),IF(OR(ISNUMBER(FIND("[",D235)),ISNUMBER(FIND("]",D235)),ISNUMBER(FIND(":",D235))),"ERROR",1))</f>
        <v/>
      </c>
      <c r="F235" s="98" t="inlineStr">
        <is>
          <t>I</t>
        </is>
      </c>
      <c r="G235" s="83" t="n"/>
      <c r="H235" s="83" t="inlineStr">
        <is>
          <t>b00000000000000000010001000000001</t>
        </is>
      </c>
      <c r="I235" s="93" t="inlineStr">
        <is>
          <t>YES</t>
        </is>
      </c>
      <c r="J235" s="88" t="n"/>
      <c r="K235" s="88" t="n"/>
      <c r="L235" s="88" t="n"/>
      <c r="M235" s="89">
        <f>H235</f>
        <v/>
      </c>
      <c r="N235" s="88" t="n"/>
      <c r="O235" s="88">
        <f>IF(AND(OR(EXACT(F235,"I"),EXACT(F235,"O")),NOT(EXACT(P235,"NA"))),CONCATENATE("c_reg_test_sel_",RIGHT(IF(B235=0,LOOKUP(2,1/($B$2:B235&lt;&gt;0),$B$2:B235),B235),LEN(IF(B235=0,LOOKUP(2,1/($B$2:B235&lt;&gt;0),$B$2:B235),B235))-FIND(".",IF(B235=0,LOOKUP(2,1/($B$2:B235&lt;&gt;0),$B$2:B235),B235))),IF(0,CONCATENATE("&amp; !c_test_reg_pin_disable_",RIGHT(IF(B235=0,LOOKUP(2,1/($B$2:B235&lt;&gt;0),$B$2:B235),B235),LEN(IF(B235=0,LOOKUP(2,1/($B$2:B235&lt;&gt;0),$B$2:B235),B235))-FIND(".",IF(B235=0,LOOKUP(2,1/($B$2:B235&lt;&gt;0),$B$2:B235),B235)))),""),IF(P235,CONCATENATE("_grp_",P235),""),"/","c_pad_",RIGHT(IF(B235=0,LOOKUP(2,1/($B$2:B235&lt;&gt;0),$B$2:B235),B235),LEN(IF(B235=0,LOOKUP(2,1/($B$2:B235&lt;&gt;0),$B$2:B235),B235))-FIND(".",IF(B235=0,LOOKUP(2,1/($B$2:B235&lt;&gt;0),$B$2:B235),B235))),"_",IF(ISNUMBER(SEARCH("[",D235)),LEFT(D235,FIND("[",D235)-1),D235)),"")</f>
        <v/>
      </c>
      <c r="P235" s="90" t="inlineStr">
        <is>
          <t>NA</t>
        </is>
      </c>
      <c r="Q235" s="83" t="n"/>
      <c r="R235" s="83" t="inlineStr">
        <is>
          <t xml:space="preserve"> 0x005B;0x005A;0x0059;0x0058;</t>
        </is>
      </c>
      <c r="S235" s="83" t="inlineStr">
        <is>
          <t>[7:0];[7:0];[7:0];[7:0];</t>
        </is>
      </c>
      <c r="T235" s="83" t="n"/>
    </row>
    <row r="236">
      <c r="A236" s="72" t="inlineStr">
        <is>
          <t>top_model.top_inst</t>
        </is>
      </c>
      <c r="B236" s="133" t="n"/>
      <c r="C236" s="83" t="inlineStr">
        <is>
          <t>core_pd.core_pd_inst</t>
        </is>
      </c>
      <c r="D236" s="83" t="inlineStr">
        <is>
          <t>top_poc_reg[7:0]</t>
        </is>
      </c>
      <c r="E236" s="83">
        <f>IF(AND(ISNUMBER(FIND("[",D236)),ISNUMBER(FIND("]",D236)),ISNUMBER(FIND(":",D236))),MID(D236,FIND("[",D236)+1,FIND(":",D236)-FIND("[",D236)-1)+1-MID(D236,FIND(":",D236)+1,FIND("]",D236)-FIND(":",D236)-1),IF(OR(ISNUMBER(FIND("[",D236)),ISNUMBER(FIND("]",D236)),ISNUMBER(FIND(":",D236))),"ERROR",1))</f>
        <v/>
      </c>
      <c r="F236" s="98" t="inlineStr">
        <is>
          <t>I</t>
        </is>
      </c>
      <c r="G236" s="83" t="n"/>
      <c r="H236" s="83" t="inlineStr">
        <is>
          <t>b00000000</t>
        </is>
      </c>
      <c r="I236" s="93" t="inlineStr">
        <is>
          <t>YES</t>
        </is>
      </c>
      <c r="J236" s="88" t="n"/>
      <c r="K236" s="88" t="n"/>
      <c r="L236" s="88" t="n"/>
      <c r="M236" s="89">
        <f>H236</f>
        <v/>
      </c>
      <c r="N236" s="88" t="n"/>
      <c r="O236" s="88">
        <f>IF(AND(OR(EXACT(F236,"I"),EXACT(F236,"O")),NOT(EXACT(P236,"NA"))),CONCATENATE("c_reg_test_sel_",RIGHT(IF(B236=0,LOOKUP(2,1/($B$2:B236&lt;&gt;0),$B$2:B236),B236),LEN(IF(B236=0,LOOKUP(2,1/($B$2:B236&lt;&gt;0),$B$2:B236),B236))-FIND(".",IF(B236=0,LOOKUP(2,1/($B$2:B236&lt;&gt;0),$B$2:B236),B236))),IF(0,CONCATENATE("&amp; !c_test_reg_pin_disable_",RIGHT(IF(B236=0,LOOKUP(2,1/($B$2:B236&lt;&gt;0),$B$2:B236),B236),LEN(IF(B236=0,LOOKUP(2,1/($B$2:B236&lt;&gt;0),$B$2:B236),B236))-FIND(".",IF(B236=0,LOOKUP(2,1/($B$2:B236&lt;&gt;0),$B$2:B236),B236)))),""),IF(P236,CONCATENATE("_grp_",P236),""),"/","c_pad_",RIGHT(IF(B236=0,LOOKUP(2,1/($B$2:B236&lt;&gt;0),$B$2:B236),B236),LEN(IF(B236=0,LOOKUP(2,1/($B$2:B236&lt;&gt;0),$B$2:B236),B236))-FIND(".",IF(B236=0,LOOKUP(2,1/($B$2:B236&lt;&gt;0),$B$2:B236),B236))),"_",IF(ISNUMBER(SEARCH("[",D236)),LEFT(D236,FIND("[",D236)-1),D236)),"")</f>
        <v/>
      </c>
      <c r="P236" s="90" t="inlineStr">
        <is>
          <t>NA</t>
        </is>
      </c>
      <c r="Q236" s="83" t="n"/>
      <c r="R236" s="83" t="inlineStr">
        <is>
          <t xml:space="preserve"> 0x0056</t>
        </is>
      </c>
      <c r="S236" s="83" t="inlineStr">
        <is>
          <t>[7:0]</t>
        </is>
      </c>
      <c r="T236" s="83" t="n"/>
    </row>
    <row r="237">
      <c r="A237" s="72" t="inlineStr">
        <is>
          <t>top_model.top_inst</t>
        </is>
      </c>
      <c r="B237" s="134" t="n"/>
      <c r="C237" s="83" t="inlineStr">
        <is>
          <t>core_pd.core_pd_inst</t>
        </is>
      </c>
      <c r="D237" s="83" t="inlineStr">
        <is>
          <t>top_test_sel[4:0]</t>
        </is>
      </c>
      <c r="E237" s="83">
        <f>IF(AND(ISNUMBER(FIND("[",D237)),ISNUMBER(FIND("]",D237)),ISNUMBER(FIND(":",D237))),MID(D237,FIND("[",D237)+1,FIND(":",D237)-FIND("[",D237)-1)+1-MID(D237,FIND(":",D237)+1,FIND("]",D237)-FIND(":",D237)-1),IF(OR(ISNUMBER(FIND("[",D237)),ISNUMBER(FIND("]",D237)),ISNUMBER(FIND(":",D237))),"ERROR",1))</f>
        <v/>
      </c>
      <c r="F237" s="98" t="inlineStr">
        <is>
          <t>I</t>
        </is>
      </c>
      <c r="G237" s="83" t="n"/>
      <c r="H237" s="83" t="inlineStr">
        <is>
          <t>b00000</t>
        </is>
      </c>
      <c r="I237" s="93" t="inlineStr">
        <is>
          <t>YES</t>
        </is>
      </c>
      <c r="J237" s="88" t="n"/>
      <c r="K237" s="88" t="n"/>
      <c r="L237" s="88" t="n"/>
      <c r="M237" s="89">
        <f>H237</f>
        <v/>
      </c>
      <c r="N237" s="88" t="n"/>
      <c r="O237" s="88" t="n"/>
      <c r="P237" s="90" t="inlineStr">
        <is>
          <t>NA</t>
        </is>
      </c>
      <c r="Q237" s="83" t="n"/>
      <c r="R237" s="83" t="inlineStr">
        <is>
          <t xml:space="preserve"> 0x0055</t>
        </is>
      </c>
      <c r="S237" s="83" t="inlineStr">
        <is>
          <t>[4:0]</t>
        </is>
      </c>
      <c r="T237" s="83" t="n"/>
    </row>
    <row r="238">
      <c r="A238" s="72" t="inlineStr">
        <is>
          <t>padring_mode.pad_ring_inst</t>
        </is>
      </c>
      <c r="B238" s="83" t="inlineStr">
        <is>
          <t>padring_mode.pad_ring_inst</t>
        </is>
      </c>
      <c r="C238" s="83" t="inlineStr">
        <is>
          <t>core_pd.core_pd_inst</t>
        </is>
      </c>
      <c r="D238" s="83" t="inlineStr">
        <is>
          <t>DI[35:0]</t>
        </is>
      </c>
      <c r="E238" s="83">
        <f>IF(AND(ISNUMBER(FIND("[",D238)),ISNUMBER(FIND("]",D238)),ISNUMBER(FIND(":",D238))),MID(D238,FIND("[",D238)+1,FIND(":",D238)-FIND("[",D238)-1)+1-MID(D238,FIND(":",D238)+1,FIND("]",D238)-FIND(":",D238)-1),IF(OR(ISNUMBER(FIND("[",D238)),ISNUMBER(FIND("]",D238)),ISNUMBER(FIND(":",D238))),"ERROR",1))</f>
        <v/>
      </c>
      <c r="F238" s="98" t="inlineStr">
        <is>
          <t>I</t>
        </is>
      </c>
      <c r="G238" s="83" t="n"/>
      <c r="H238" s="83" t="inlineStr">
        <is>
          <t>b000000000000000000000000000000000000</t>
        </is>
      </c>
      <c r="I238" s="83" t="inlineStr">
        <is>
          <t>NO</t>
        </is>
      </c>
      <c r="J238" s="88" t="n"/>
      <c r="K238" s="88" t="n"/>
      <c r="L238" s="88" t="n"/>
      <c r="M238" s="89">
        <f>H238</f>
        <v/>
      </c>
      <c r="N238" s="88" t="inlineStr">
        <is>
          <t>NONE</t>
        </is>
      </c>
      <c r="O238" s="88">
        <f>IF(AND(OR(EXACT(F238,"I"),EXACT(F238,"O")),NOT(EXACT(P238,"NA"))),CONCATENATE("c_reg_test_sel_",RIGHT(IF(B238=0,LOOKUP(2,1/($B$2:B238&lt;&gt;0),$B$2:B238),B238),LEN(IF(B238=0,LOOKUP(2,1/($B$2:B238&lt;&gt;0),$B$2:B238),B238))-FIND(".",IF(B238=0,LOOKUP(2,1/($B$2:B238&lt;&gt;0),$B$2:B238),B238))),IF(0,CONCATENATE("&amp; !c_test_reg_pin_disable_",RIGHT(IF(B238=0,LOOKUP(2,1/($B$2:B238&lt;&gt;0),$B$2:B238),B238),LEN(IF(B238=0,LOOKUP(2,1/($B$2:B238&lt;&gt;0),$B$2:B238),B238))-FIND(".",IF(B238=0,LOOKUP(2,1/($B$2:B238&lt;&gt;0),$B$2:B238),B238)))),""),IF(P238,CONCATENATE("_grp_",P238),""),"/","c_pad_",RIGHT(IF(B238=0,LOOKUP(2,1/($B$2:B238&lt;&gt;0),$B$2:B238),B238),LEN(IF(B238=0,LOOKUP(2,1/($B$2:B238&lt;&gt;0),$B$2:B238),B238))-FIND(".",IF(B238=0,LOOKUP(2,1/($B$2:B238&lt;&gt;0),$B$2:B238),B238))),"_",IF(ISNUMBER(SEARCH("[",D238)),LEFT(D238,FIND("[",D238)-1),D238)),"")</f>
        <v/>
      </c>
      <c r="P238" s="90" t="inlineStr">
        <is>
          <t>NA</t>
        </is>
      </c>
      <c r="Q238" s="83" t="n"/>
      <c r="R238" s="83" t="n"/>
      <c r="S238" s="83" t="n"/>
      <c r="T238" s="83" t="n"/>
    </row>
    <row r="239">
      <c r="A239" s="72" t="inlineStr">
        <is>
          <t>padring_mode.pad_ring_inst</t>
        </is>
      </c>
      <c r="B239" s="133" t="n"/>
      <c r="C239" s="83" t="inlineStr">
        <is>
          <t>core_pd.core_pd_inst</t>
        </is>
      </c>
      <c r="D239" s="83" t="inlineStr">
        <is>
          <t>OE[35:0]</t>
        </is>
      </c>
      <c r="E239" s="83">
        <f>IF(AND(ISNUMBER(FIND("[",D239)),ISNUMBER(FIND("]",D239)),ISNUMBER(FIND(":",D239))),MID(D239,FIND("[",D239)+1,FIND(":",D239)-FIND("[",D239)-1)+1-MID(D239,FIND(":",D239)+1,FIND("]",D239)-FIND(":",D239)-1),IF(OR(ISNUMBER(FIND("[",D239)),ISNUMBER(FIND("]",D239)),ISNUMBER(FIND(":",D239))),"ERROR",1))</f>
        <v/>
      </c>
      <c r="F239" s="98" t="inlineStr">
        <is>
          <t>I</t>
        </is>
      </c>
      <c r="G239" s="83" t="n"/>
      <c r="H239" s="83" t="inlineStr">
        <is>
          <t>b000000000000000000000000000000000000</t>
        </is>
      </c>
      <c r="I239" s="83" t="inlineStr">
        <is>
          <t>NO</t>
        </is>
      </c>
      <c r="J239" s="88" t="n"/>
      <c r="K239" s="88" t="n"/>
      <c r="L239" s="88" t="n"/>
      <c r="M239" s="89">
        <f>H239</f>
        <v/>
      </c>
      <c r="N239" s="88" t="inlineStr">
        <is>
          <t>NONE</t>
        </is>
      </c>
      <c r="O239" s="88">
        <f>IF(AND(OR(EXACT(F239,"I"),EXACT(F239,"O")),NOT(EXACT(P239,"NA"))),CONCATENATE("c_reg_test_sel_",RIGHT(IF(B239=0,LOOKUP(2,1/($B$2:B239&lt;&gt;0),$B$2:B239),B239),LEN(IF(B239=0,LOOKUP(2,1/($B$2:B239&lt;&gt;0),$B$2:B239),B239))-FIND(".",IF(B239=0,LOOKUP(2,1/($B$2:B239&lt;&gt;0),$B$2:B239),B239))),IF(0,CONCATENATE("&amp; !c_test_reg_pin_disable_",RIGHT(IF(B239=0,LOOKUP(2,1/($B$2:B239&lt;&gt;0),$B$2:B239),B239),LEN(IF(B239=0,LOOKUP(2,1/($B$2:B239&lt;&gt;0),$B$2:B239),B239))-FIND(".",IF(B239=0,LOOKUP(2,1/($B$2:B239&lt;&gt;0),$B$2:B239),B239)))),""),IF(P239,CONCATENATE("_grp_",P239),""),"/","c_pad_",RIGHT(IF(B239=0,LOOKUP(2,1/($B$2:B239&lt;&gt;0),$B$2:B239),B239),LEN(IF(B239=0,LOOKUP(2,1/($B$2:B239&lt;&gt;0),$B$2:B239),B239))-FIND(".",IF(B239=0,LOOKUP(2,1/($B$2:B239&lt;&gt;0),$B$2:B239),B239))),"_",IF(ISNUMBER(SEARCH("[",D239)),LEFT(D239,FIND("[",D239)-1),D239)),"")</f>
        <v/>
      </c>
      <c r="P239" s="90" t="inlineStr">
        <is>
          <t>NA</t>
        </is>
      </c>
      <c r="Q239" s="83" t="n"/>
      <c r="R239" s="83" t="n"/>
      <c r="S239" s="83" t="n"/>
      <c r="T239" s="83" t="n"/>
    </row>
    <row r="240" ht="63" customHeight="1" s="26">
      <c r="A240" s="72" t="inlineStr">
        <is>
          <t>padring_mode.pad_ring_inst</t>
        </is>
      </c>
      <c r="B240" s="133" t="n"/>
      <c r="C240" s="83" t="inlineStr">
        <is>
          <t>core_pd.core_pd_inst</t>
        </is>
      </c>
      <c r="D240" s="83" t="inlineStr">
        <is>
          <t>IE[35:0]</t>
        </is>
      </c>
      <c r="E240" s="83">
        <f>IF(AND(ISNUMBER(FIND("[",D240)),ISNUMBER(FIND("]",D240)),ISNUMBER(FIND(":",D240))),MID(D240,FIND("[",D240)+1,FIND(":",D240)-FIND("[",D240)-1)+1-MID(D240,FIND(":",D240)+1,FIND("]",D240)-FIND(":",D240)-1),IF(OR(ISNUMBER(FIND("[",D240)),ISNUMBER(FIND("]",D240)),ISNUMBER(FIND(":",D240))),"ERROR",1))</f>
        <v/>
      </c>
      <c r="F240" s="98" t="inlineStr">
        <is>
          <t>I</t>
        </is>
      </c>
      <c r="G240" s="83" t="n"/>
      <c r="H240" s="83" t="inlineStr">
        <is>
          <t>b111111111111111111111111111111111111</t>
        </is>
      </c>
      <c r="I240" s="83" t="inlineStr">
        <is>
          <t>NO</t>
        </is>
      </c>
      <c r="J240" s="88" t="n"/>
      <c r="K240" s="88" t="n"/>
      <c r="L240" s="88" t="n"/>
      <c r="M240" s="89">
        <f>H240</f>
        <v/>
      </c>
      <c r="N240" s="88" t="inlineStr">
        <is>
          <t>NONE</t>
        </is>
      </c>
      <c r="O240" s="88">
        <f>IF(AND(OR(EXACT(F240,"I"),EXACT(F240,"O")),NOT(EXACT(P240,"NA"))),CONCATENATE("c_reg_test_sel_",RIGHT(IF(B240=0,LOOKUP(2,1/($B$2:B240&lt;&gt;0),$B$2:B240),B240),LEN(IF(B240=0,LOOKUP(2,1/($B$2:B240&lt;&gt;0),$B$2:B240),B240))-FIND(".",IF(B240=0,LOOKUP(2,1/($B$2:B240&lt;&gt;0),$B$2:B240),B240))),IF(0,CONCATENATE("&amp; !c_test_reg_pin_disable_",RIGHT(IF(B240=0,LOOKUP(2,1/($B$2:B240&lt;&gt;0),$B$2:B240),B240),LEN(IF(B240=0,LOOKUP(2,1/($B$2:B240&lt;&gt;0),$B$2:B240),B240))-FIND(".",IF(B240=0,LOOKUP(2,1/($B$2:B240&lt;&gt;0),$B$2:B240),B240)))),""),IF(P240,CONCATENATE("_grp_",P240),""),"/","c_pad_",RIGHT(IF(B240=0,LOOKUP(2,1/($B$2:B240&lt;&gt;0),$B$2:B240),B240),LEN(IF(B240=0,LOOKUP(2,1/($B$2:B240&lt;&gt;0),$B$2:B240),B240))-FIND(".",IF(B240=0,LOOKUP(2,1/($B$2:B240&lt;&gt;0),$B$2:B240),B240))),"_",IF(ISNUMBER(SEARCH("[",D240)),LEFT(D240,FIND("[",D240)-1),D240)),"")</f>
        <v/>
      </c>
      <c r="P240" s="90" t="inlineStr">
        <is>
          <t>NA</t>
        </is>
      </c>
      <c r="Q240" s="83" t="inlineStr">
        <is>
          <t xml:space="preserve">Input enable signal, high active 
IE= “0” Disables the input buffer 
IE= “1” Enables the input buffer;
</t>
        </is>
      </c>
      <c r="R240" s="83" t="n"/>
      <c r="S240" s="83" t="n"/>
      <c r="T240" s="83" t="n"/>
    </row>
    <row r="241" ht="63" customHeight="1" s="26">
      <c r="A241" s="72" t="inlineStr">
        <is>
          <t>padring_mode.pad_ring_inst</t>
        </is>
      </c>
      <c r="B241" s="133" t="n"/>
      <c r="C241" s="83" t="inlineStr">
        <is>
          <t>core_pd.core_pd_inst</t>
        </is>
      </c>
      <c r="D241" s="83" t="inlineStr">
        <is>
          <t>IS[35:0]</t>
        </is>
      </c>
      <c r="E241" s="83">
        <f>IF(AND(ISNUMBER(FIND("[",D241)),ISNUMBER(FIND("]",D241)),ISNUMBER(FIND(":",D241))),MID(D241,FIND("[",D241)+1,FIND(":",D241)-FIND("[",D241)-1)+1-MID(D241,FIND(":",D241)+1,FIND("]",D241)-FIND(":",D241)-1),IF(OR(ISNUMBER(FIND("[",D241)),ISNUMBER(FIND("]",D241)),ISNUMBER(FIND(":",D241))),"ERROR",1))</f>
        <v/>
      </c>
      <c r="F241" s="98" t="inlineStr">
        <is>
          <t>I</t>
        </is>
      </c>
      <c r="G241" s="83" t="n"/>
      <c r="H241" s="83" t="inlineStr">
        <is>
          <t>b000000000000000000000000000000000000</t>
        </is>
      </c>
      <c r="I241" s="83" t="inlineStr">
        <is>
          <t>NO</t>
        </is>
      </c>
      <c r="J241" s="88" t="n"/>
      <c r="K241" s="88" t="n"/>
      <c r="L241" s="88" t="n"/>
      <c r="M241" s="89">
        <f>H241</f>
        <v/>
      </c>
      <c r="N241" s="88" t="inlineStr">
        <is>
          <t>NONE</t>
        </is>
      </c>
      <c r="O241" s="88">
        <f>IF(AND(OR(EXACT(F241,"I"),EXACT(F241,"O")),NOT(EXACT(P241,"NA"))),CONCATENATE("c_reg_test_sel_",RIGHT(IF(B241=0,LOOKUP(2,1/($B$2:B241&lt;&gt;0),$B$2:B241),B241),LEN(IF(B241=0,LOOKUP(2,1/($B$2:B241&lt;&gt;0),$B$2:B241),B241))-FIND(".",IF(B241=0,LOOKUP(2,1/($B$2:B241&lt;&gt;0),$B$2:B241),B241))),IF(0,CONCATENATE("&amp; !c_test_reg_pin_disable_",RIGHT(IF(B241=0,LOOKUP(2,1/($B$2:B241&lt;&gt;0),$B$2:B241),B241),LEN(IF(B241=0,LOOKUP(2,1/($B$2:B241&lt;&gt;0),$B$2:B241),B241))-FIND(".",IF(B241=0,LOOKUP(2,1/($B$2:B241&lt;&gt;0),$B$2:B241),B241)))),""),IF(P241,CONCATENATE("_grp_",P241),""),"/","c_pad_",RIGHT(IF(B241=0,LOOKUP(2,1/($B$2:B241&lt;&gt;0),$B$2:B241),B241),LEN(IF(B241=0,LOOKUP(2,1/($B$2:B241&lt;&gt;0),$B$2:B241),B241))-FIND(".",IF(B241=0,LOOKUP(2,1/($B$2:B241&lt;&gt;0),$B$2:B241),B241))),"_",IF(ISNUMBER(SEARCH("[",D241)),LEFT(D241,FIND("[",D241)-1),D241)),"")</f>
        <v/>
      </c>
      <c r="P241" s="90" t="inlineStr">
        <is>
          <t>NA</t>
        </is>
      </c>
      <c r="Q241" s="83" t="inlineStr">
        <is>
          <t xml:space="preserve">Input mode controlling signal 
IS= “0” Schmitt input; 
IS= “1”  Buffer input 
</t>
        </is>
      </c>
      <c r="R241" s="83" t="n"/>
      <c r="S241" s="83" t="n"/>
      <c r="T241" s="83" t="n"/>
    </row>
    <row r="242" ht="47.25" customHeight="1" s="26">
      <c r="A242" s="72" t="inlineStr">
        <is>
          <t>padring_mode.pad_ring_inst</t>
        </is>
      </c>
      <c r="B242" s="133" t="n"/>
      <c r="C242" s="83" t="inlineStr">
        <is>
          <t>core_pd.core_pd_inst</t>
        </is>
      </c>
      <c r="D242" s="83" t="inlineStr">
        <is>
          <t>PE[35:0]</t>
        </is>
      </c>
      <c r="E242" s="83">
        <f>IF(AND(ISNUMBER(FIND("[",D242)),ISNUMBER(FIND("]",D242)),ISNUMBER(FIND(":",D242))),MID(D242,FIND("[",D242)+1,FIND(":",D242)-FIND("[",D242)-1)+1-MID(D242,FIND(":",D242)+1,FIND("]",D242)-FIND(":",D242)-1),IF(OR(ISNUMBER(FIND("[",D242)),ISNUMBER(FIND("]",D242)),ISNUMBER(FIND(":",D242))),"ERROR",1))</f>
        <v/>
      </c>
      <c r="F242" s="98" t="inlineStr">
        <is>
          <t>I</t>
        </is>
      </c>
      <c r="G242" s="83" t="n"/>
      <c r="H242" s="83" t="inlineStr">
        <is>
          <t>b000000000000000000100100000000000000</t>
        </is>
      </c>
      <c r="I242" s="83" t="inlineStr">
        <is>
          <t>NO</t>
        </is>
      </c>
      <c r="J242" s="88" t="n"/>
      <c r="K242" s="88" t="n"/>
      <c r="L242" s="88" t="n"/>
      <c r="M242" s="89">
        <f>H242</f>
        <v/>
      </c>
      <c r="N242" s="88" t="inlineStr">
        <is>
          <t>NONE</t>
        </is>
      </c>
      <c r="O242" s="88">
        <f>IF(AND(OR(EXACT(F242,"I"),EXACT(F242,"O")),NOT(EXACT(P242,"NA"))),CONCATENATE("c_reg_test_sel_",RIGHT(IF(B242=0,LOOKUP(2,1/($B$2:B242&lt;&gt;0),$B$2:B242),B242),LEN(IF(B242=0,LOOKUP(2,1/($B$2:B242&lt;&gt;0),$B$2:B242),B242))-FIND(".",IF(B242=0,LOOKUP(2,1/($B$2:B242&lt;&gt;0),$B$2:B242),B242))),IF(0,CONCATENATE("&amp; !c_test_reg_pin_disable_",RIGHT(IF(B242=0,LOOKUP(2,1/($B$2:B242&lt;&gt;0),$B$2:B242),B242),LEN(IF(B242=0,LOOKUP(2,1/($B$2:B242&lt;&gt;0),$B$2:B242),B242))-FIND(".",IF(B242=0,LOOKUP(2,1/($B$2:B242&lt;&gt;0),$B$2:B242),B242)))),""),IF(P242,CONCATENATE("_grp_",P242),""),"/","c_pad_",RIGHT(IF(B242=0,LOOKUP(2,1/($B$2:B242&lt;&gt;0),$B$2:B242),B242),LEN(IF(B242=0,LOOKUP(2,1/($B$2:B242&lt;&gt;0),$B$2:B242),B242))-FIND(".",IF(B242=0,LOOKUP(2,1/($B$2:B242&lt;&gt;0),$B$2:B242),B242))),"_",IF(ISNUMBER(SEARCH("[",D242)),LEFT(D242,FIND("[",D242)-1),D242)),"")</f>
        <v/>
      </c>
      <c r="P242" s="90" t="inlineStr">
        <is>
          <t>NA</t>
        </is>
      </c>
      <c r="Q242" s="83" t="inlineStr">
        <is>
          <t xml:space="preserve">Pull resistor enable signal. 
Logic HIGH enables pull device. 
</t>
        </is>
      </c>
      <c r="R242" s="83" t="n"/>
      <c r="S242" s="83" t="n"/>
      <c r="T242" s="83" t="n"/>
    </row>
    <row r="243">
      <c r="A243" s="72" t="inlineStr">
        <is>
          <t>padring_mode.pad_ring_inst</t>
        </is>
      </c>
      <c r="B243" s="133" t="n"/>
      <c r="C243" s="83" t="inlineStr">
        <is>
          <t>core_pd.core_pd_inst</t>
        </is>
      </c>
      <c r="D243" s="83" t="inlineStr">
        <is>
          <t>PS[35:0]</t>
        </is>
      </c>
      <c r="E243" s="83">
        <f>IF(AND(ISNUMBER(FIND("[",D243)),ISNUMBER(FIND("]",D243)),ISNUMBER(FIND(":",D243))),MID(D243,FIND("[",D243)+1,FIND(":",D243)-FIND("[",D243)-1)+1-MID(D243,FIND(":",D243)+1,FIND("]",D243)-FIND(":",D243)-1),IF(OR(ISNUMBER(FIND("[",D243)),ISNUMBER(FIND("]",D243)),ISNUMBER(FIND(":",D243))),"ERROR",1))</f>
        <v/>
      </c>
      <c r="F243" s="98" t="inlineStr">
        <is>
          <t>I</t>
        </is>
      </c>
      <c r="G243" s="83" t="n"/>
      <c r="H243" s="83" t="inlineStr">
        <is>
          <t>b000000000000000000000100000000000000</t>
        </is>
      </c>
      <c r="I243" s="83" t="inlineStr">
        <is>
          <t>NO</t>
        </is>
      </c>
      <c r="J243" s="88" t="n"/>
      <c r="K243" s="88" t="n"/>
      <c r="L243" s="88" t="n"/>
      <c r="M243" s="89">
        <f>H243</f>
        <v/>
      </c>
      <c r="N243" s="88" t="inlineStr">
        <is>
          <t>NONE</t>
        </is>
      </c>
      <c r="O243" s="88">
        <f>IF(AND(OR(EXACT(F243,"I"),EXACT(F243,"O")),NOT(EXACT(P243,"NA"))),CONCATENATE("c_reg_test_sel_",RIGHT(IF(B243=0,LOOKUP(2,1/($B$2:B243&lt;&gt;0),$B$2:B243),B243),LEN(IF(B243=0,LOOKUP(2,1/($B$2:B243&lt;&gt;0),$B$2:B243),B243))-FIND(".",IF(B243=0,LOOKUP(2,1/($B$2:B243&lt;&gt;0),$B$2:B243),B243))),IF(0,CONCATENATE("&amp; !c_test_reg_pin_disable_",RIGHT(IF(B243=0,LOOKUP(2,1/($B$2:B243&lt;&gt;0),$B$2:B243),B243),LEN(IF(B243=0,LOOKUP(2,1/($B$2:B243&lt;&gt;0),$B$2:B243),B243))-FIND(".",IF(B243=0,LOOKUP(2,1/($B$2:B243&lt;&gt;0),$B$2:B243),B243)))),""),IF(P243,CONCATENATE("_grp_",P243),""),"/","c_pad_",RIGHT(IF(B243=0,LOOKUP(2,1/($B$2:B243&lt;&gt;0),$B$2:B243),B243),LEN(IF(B243=0,LOOKUP(2,1/($B$2:B243&lt;&gt;0),$B$2:B243),B243))-FIND(".",IF(B243=0,LOOKUP(2,1/($B$2:B243&lt;&gt;0),$B$2:B243),B243))),"_",IF(ISNUMBER(SEARCH("[",D243)),LEFT(D243,FIND("[",D243)-1),D243)),"")</f>
        <v/>
      </c>
      <c r="P243" s="90" t="inlineStr">
        <is>
          <t>NA</t>
        </is>
      </c>
      <c r="Q243" s="83" t="inlineStr">
        <is>
          <t>Pull resistor selection signal. Logic HIGH selects pull-up, logic LOW selected pull-down. IIIIIIIIIIIIIIIIIIIIIIIIIIIIIIIII</t>
        </is>
      </c>
      <c r="R243" s="83" t="n"/>
      <c r="S243" s="83" t="n"/>
      <c r="T243" s="83" t="n"/>
    </row>
    <row r="244" ht="31.5" customHeight="1" s="26">
      <c r="A244" s="72" t="inlineStr">
        <is>
          <t>padring_mode.pad_ring_inst</t>
        </is>
      </c>
      <c r="B244" s="133" t="n"/>
      <c r="C244" s="83" t="inlineStr">
        <is>
          <t>core_pd.core_pd_inst</t>
        </is>
      </c>
      <c r="D244" s="83" t="inlineStr">
        <is>
          <t>DR[71:0]</t>
        </is>
      </c>
      <c r="E244" s="83">
        <f>IF(AND(ISNUMBER(FIND("[",D244)),ISNUMBER(FIND("]",D244)),ISNUMBER(FIND(":",D244))),MID(D244,FIND("[",D244)+1,FIND(":",D244)-FIND("[",D244)-1)+1-MID(D244,FIND(":",D244)+1,FIND("]",D244)-FIND(":",D244)-1),IF(OR(ISNUMBER(FIND("[",D244)),ISNUMBER(FIND("]",D244)),ISNUMBER(FIND(":",D244))),"ERROR",1))</f>
        <v/>
      </c>
      <c r="F244" s="98" t="inlineStr">
        <is>
          <t>I</t>
        </is>
      </c>
      <c r="G244" s="83" t="n"/>
      <c r="H244" s="83" t="inlineStr">
        <is>
          <t>b010101010101010101010101010101010101010101010101010101010101010101010101</t>
        </is>
      </c>
      <c r="I244" s="83" t="inlineStr">
        <is>
          <t>NO</t>
        </is>
      </c>
      <c r="J244" s="88" t="n"/>
      <c r="K244" s="88" t="n"/>
      <c r="L244" s="88" t="n"/>
      <c r="M244" s="89">
        <f>H244</f>
        <v/>
      </c>
      <c r="N244" s="88" t="inlineStr">
        <is>
          <t>NONE</t>
        </is>
      </c>
      <c r="O244" s="88">
        <f>IF(AND(OR(EXACT(F244,"I"),EXACT(F244,"O")),NOT(EXACT(P244,"NA"))),CONCATENATE("c_reg_test_sel_",RIGHT(IF(B244=0,LOOKUP(2,1/($B$2:B244&lt;&gt;0),$B$2:B244),B244),LEN(IF(B244=0,LOOKUP(2,1/($B$2:B244&lt;&gt;0),$B$2:B244),B244))-FIND(".",IF(B244=0,LOOKUP(2,1/($B$2:B244&lt;&gt;0),$B$2:B244),B244))),IF(0,CONCATENATE("&amp; !c_test_reg_pin_disable_",RIGHT(IF(B244=0,LOOKUP(2,1/($B$2:B244&lt;&gt;0),$B$2:B244),B244),LEN(IF(B244=0,LOOKUP(2,1/($B$2:B244&lt;&gt;0),$B$2:B244),B244))-FIND(".",IF(B244=0,LOOKUP(2,1/($B$2:B244&lt;&gt;0),$B$2:B244),B244)))),""),IF(P244,CONCATENATE("_grp_",P244),""),"/","c_pad_",RIGHT(IF(B244=0,LOOKUP(2,1/($B$2:B244&lt;&gt;0),$B$2:B244),B244),LEN(IF(B244=0,LOOKUP(2,1/($B$2:B244&lt;&gt;0),$B$2:B244),B244))-FIND(".",IF(B244=0,LOOKUP(2,1/($B$2:B244&lt;&gt;0),$B$2:B244),B244))),"_",IF(ISNUMBER(SEARCH("[",D244)),LEFT(D244,FIND("[",D244)-1),D244)),"")</f>
        <v/>
      </c>
      <c r="P244" s="90" t="inlineStr">
        <is>
          <t>NA</t>
        </is>
      </c>
      <c r="Q244" s="83" t="inlineStr">
        <is>
          <t xml:space="preserve">Used to select output drive strength. DR[1:0]=2’b10 is default value. </t>
        </is>
      </c>
      <c r="R244" s="83" t="n"/>
      <c r="S244" s="83" t="n"/>
      <c r="T244" s="83" t="n"/>
    </row>
    <row r="245" hidden="1" s="26">
      <c r="A245" s="72" t="inlineStr">
        <is>
          <t>padring_mode.pad_ring_inst</t>
        </is>
      </c>
      <c r="B245" s="133" t="n"/>
      <c r="C245" s="83" t="inlineStr">
        <is>
          <t>core_pd.core_pd_inst</t>
        </is>
      </c>
      <c r="D245" s="83" t="inlineStr">
        <is>
          <t>DC[35:0]</t>
        </is>
      </c>
      <c r="E245" s="83">
        <f>IF(AND(ISNUMBER(FIND("[",D245)),ISNUMBER(FIND("]",D245)),ISNUMBER(FIND(":",D245))),MID(D245,FIND("[",D245)+1,FIND(":",D245)-FIND("[",D245)-1)+1-MID(D245,FIND(":",D245)+1,FIND("]",D245)-FIND(":",D245)-1),IF(OR(ISNUMBER(FIND("[",D245)),ISNUMBER(FIND("]",D245)),ISNUMBER(FIND(":",D245))),"ERROR",1))</f>
        <v/>
      </c>
      <c r="F245" s="98" t="inlineStr">
        <is>
          <t>O</t>
        </is>
      </c>
      <c r="G245" s="83" t="n"/>
      <c r="H245" s="83" t="n"/>
      <c r="I245" s="83" t="inlineStr">
        <is>
          <t>NO</t>
        </is>
      </c>
      <c r="J245" s="88" t="n"/>
      <c r="K245" s="88" t="n"/>
      <c r="L245" s="88" t="n"/>
      <c r="M245" s="89">
        <f>H245</f>
        <v/>
      </c>
      <c r="N245" s="88" t="n"/>
      <c r="O245" s="88">
        <f>IF(AND(OR(EXACT(F245,"I"),EXACT(F245,"O")),NOT(EXACT(P245,"NA"))),CONCATENATE("c_reg_test_sel_",RIGHT(IF(B245=0,LOOKUP(2,1/($B$2:B245&lt;&gt;0),$B$2:B245),B245),LEN(IF(B245=0,LOOKUP(2,1/($B$2:B245&lt;&gt;0),$B$2:B245),B245))-FIND(".",IF(B245=0,LOOKUP(2,1/($B$2:B245&lt;&gt;0),$B$2:B245),B245))),IF(0,CONCATENATE("&amp; !c_test_reg_pin_disable_",RIGHT(IF(B245=0,LOOKUP(2,1/($B$2:B245&lt;&gt;0),$B$2:B245),B245),LEN(IF(B245=0,LOOKUP(2,1/($B$2:B245&lt;&gt;0),$B$2:B245),B245))-FIND(".",IF(B245=0,LOOKUP(2,1/($B$2:B245&lt;&gt;0),$B$2:B245),B245)))),""),IF(P245,CONCATENATE("_grp_",P245),""),"/","c_pad_",RIGHT(IF(B245=0,LOOKUP(2,1/($B$2:B245&lt;&gt;0),$B$2:B245),B245),LEN(IF(B245=0,LOOKUP(2,1/($B$2:B245&lt;&gt;0),$B$2:B245),B245))-FIND(".",IF(B245=0,LOOKUP(2,1/($B$2:B245&lt;&gt;0),$B$2:B245),B245))),"_",IF(ISNUMBER(SEARCH("[",D245)),LEFT(D245,FIND("[",D245)-1),D245)),"")</f>
        <v/>
      </c>
      <c r="P245" s="90" t="inlineStr">
        <is>
          <t>NA</t>
        </is>
      </c>
      <c r="Q245" s="90" t="inlineStr">
        <is>
          <t xml:space="preserve">Output data to core </t>
        </is>
      </c>
      <c r="R245" s="83" t="n"/>
      <c r="S245" s="83" t="n"/>
      <c r="T245" s="83" t="n"/>
    </row>
    <row r="246" ht="409.5" customHeight="1" s="26">
      <c r="A246" s="72" t="inlineStr">
        <is>
          <t>padring_mode.pad_ring_inst</t>
        </is>
      </c>
      <c r="B246" s="133" t="n"/>
      <c r="C246" s="83" t="inlineStr">
        <is>
          <t>core_pd.core_pd_inst</t>
        </is>
      </c>
      <c r="D246" s="83" t="inlineStr">
        <is>
          <t>REG_XTAL32K[7:0]</t>
        </is>
      </c>
      <c r="E246" s="83">
        <f>IF(AND(ISNUMBER(FIND("[",D246)),ISNUMBER(FIND("]",D246)),ISNUMBER(FIND(":",D246))),MID(D246,FIND("[",D246)+1,FIND(":",D246)-FIND("[",D246)-1)+1-MID(D246,FIND(":",D246)+1,FIND("]",D246)-FIND(":",D246)-1),IF(OR(ISNUMBER(FIND("[",D246)),ISNUMBER(FIND("]",D246)),ISNUMBER(FIND(":",D246))),"ERROR",1))</f>
        <v/>
      </c>
      <c r="F246" s="98" t="inlineStr">
        <is>
          <t>I</t>
        </is>
      </c>
      <c r="G246" s="83" t="n"/>
      <c r="H246" s="83" t="inlineStr">
        <is>
          <t>b00110100</t>
        </is>
      </c>
      <c r="I246" s="83" t="inlineStr">
        <is>
          <t>YES</t>
        </is>
      </c>
      <c r="J246" s="88" t="n"/>
      <c r="K246" s="88" t="n"/>
      <c r="L246" s="88" t="n"/>
      <c r="M246" s="89">
        <f>H246</f>
        <v/>
      </c>
      <c r="N246" s="88" t="n"/>
      <c r="O246" s="88">
        <f>IF(AND(OR(EXACT(F246,"I"),EXACT(F246,"O")),NOT(EXACT(P246,"NA"))),CONCATENATE("c_reg_test_sel_",RIGHT(IF(B246=0,LOOKUP(2,1/($B$2:B246&lt;&gt;0),$B$2:B246),B246),LEN(IF(B246=0,LOOKUP(2,1/($B$2:B246&lt;&gt;0),$B$2:B246),B246))-FIND(".",IF(B246=0,LOOKUP(2,1/($B$2:B246&lt;&gt;0),$B$2:B246),B246))),IF(0,CONCATENATE("&amp; !c_test_reg_pin_disable_",RIGHT(IF(B246=0,LOOKUP(2,1/($B$2:B246&lt;&gt;0),$B$2:B246),B246),LEN(IF(B246=0,LOOKUP(2,1/($B$2:B246&lt;&gt;0),$B$2:B246),B246))-FIND(".",IF(B246=0,LOOKUP(2,1/($B$2:B246&lt;&gt;0),$B$2:B246),B246)))),""),IF(P246,CONCATENATE("_grp_",P246),""),"/","c_pad_",RIGHT(IF(B246=0,LOOKUP(2,1/($B$2:B246&lt;&gt;0),$B$2:B246),B246),LEN(IF(B246=0,LOOKUP(2,1/($B$2:B246&lt;&gt;0),$B$2:B246),B246))-FIND(".",IF(B246=0,LOOKUP(2,1/($B$2:B246&lt;&gt;0),$B$2:B246),B246))),"_",IF(ISNUMBER(SEARCH("[",D246)),LEFT(D246,FIND("[",D246)-1),D246)),"")</f>
        <v/>
      </c>
      <c r="P246" s="90" t="n"/>
      <c r="Q246" s="83" t="inlineStr">
        <is>
          <t xml:space="preserve">Registers to control operating current, AGC function and oscillate state check function of crystal OSC. 
Default value 8b’0111_0100 
Note：1.8/1.08_125℃_ff&amp;fs case need add operating current adjust 
8b’0111_0101 
REG_XTAL32K[2:0] 
Registers to control operating current of crystal OSC; 
REG_XTAL32K[2:0]=3’b100 is default value. 
REG_XTAL32K [3] 
Reserved
REG_XTAL32K[4] 
Internal RF resistor select signal 
Only effect when 
REG_XTAL32K[5]=“1” 
REG_XTAL32K[4]=“1”Select 
10Mohm internal RF resistor (mos) 
REG_XTAL32K[4]=“0”Select 
15Mohm internal RF resistor (mos) REG_XTAL32K[4]=1’b1 is default value. 
REG_XTAL32K[5]
Internal RF resistor enable signal
REG_XTAL32K[5]=“1”Enable
internal RF resistor
REG_XTAL32K[5]=“0”Disable
internal RF resistor
When REG_XTAL32K[5]=“0” , need 10Mohm resistor on PCB
REG_XTAL32K[5]=1’b1 is default value.
REG_XTAL32K[7:6]
Reserved.
</t>
        </is>
      </c>
      <c r="R246" s="83" t="n"/>
      <c r="S246" s="83" t="n"/>
      <c r="T246" s="83" t="n"/>
    </row>
    <row r="247" ht="315" customHeight="1" s="26">
      <c r="A247" s="72" t="inlineStr">
        <is>
          <t>padring_mode.pad_ring_inst</t>
        </is>
      </c>
      <c r="B247" s="133" t="n"/>
      <c r="C247" s="83" t="inlineStr">
        <is>
          <t>core_pd.core_pd_inst</t>
        </is>
      </c>
      <c r="D247" s="83" t="inlineStr">
        <is>
          <t>REG_XTALMF[7:0]</t>
        </is>
      </c>
      <c r="E247" s="83">
        <f>IF(AND(ISNUMBER(FIND("[",D247)),ISNUMBER(FIND("]",D247)),ISNUMBER(FIND(":",D247))),MID(D247,FIND("[",D247)+1,FIND(":",D247)-FIND("[",D247)-1)+1-MID(D247,FIND(":",D247)+1,FIND("]",D247)-FIND(":",D247)-1),IF(OR(ISNUMBER(FIND("[",D247)),ISNUMBER(FIND("]",D247)),ISNUMBER(FIND(":",D247))),"ERROR",1))</f>
        <v/>
      </c>
      <c r="F247" s="98" t="inlineStr">
        <is>
          <t>I</t>
        </is>
      </c>
      <c r="G247" s="83" t="n"/>
      <c r="H247" s="83" t="inlineStr">
        <is>
          <t>b00101010</t>
        </is>
      </c>
      <c r="I247" s="83" t="inlineStr">
        <is>
          <t>YES</t>
        </is>
      </c>
      <c r="J247" s="88" t="n"/>
      <c r="K247" s="88" t="n"/>
      <c r="L247" s="88" t="n"/>
      <c r="M247" s="89">
        <f>H247</f>
        <v/>
      </c>
      <c r="N247" s="88" t="n"/>
      <c r="O247" s="88">
        <f>IF(AND(OR(EXACT(F247,"I"),EXACT(F247,"O")),NOT(EXACT(P247,"NA"))),CONCATENATE("c_reg_test_sel_",RIGHT(IF(B247=0,LOOKUP(2,1/($B$2:B247&lt;&gt;0),$B$2:B247),B247),LEN(IF(B247=0,LOOKUP(2,1/($B$2:B247&lt;&gt;0),$B$2:B247),B247))-FIND(".",IF(B247=0,LOOKUP(2,1/($B$2:B247&lt;&gt;0),$B$2:B247),B247))),IF(0,CONCATENATE("&amp; !c_test_reg_pin_disable_",RIGHT(IF(B247=0,LOOKUP(2,1/($B$2:B247&lt;&gt;0),$B$2:B247),B247),LEN(IF(B247=0,LOOKUP(2,1/($B$2:B247&lt;&gt;0),$B$2:B247),B247))-FIND(".",IF(B247=0,LOOKUP(2,1/($B$2:B247&lt;&gt;0),$B$2:B247),B247)))),""),IF(P247,CONCATENATE("_grp_",P247),""),"/","c_pad_",RIGHT(IF(B247=0,LOOKUP(2,1/($B$2:B247&lt;&gt;0),$B$2:B247),B247),LEN(IF(B247=0,LOOKUP(2,1/($B$2:B247&lt;&gt;0),$B$2:B247),B247))-FIND(".",IF(B247=0,LOOKUP(2,1/($B$2:B247&lt;&gt;0),$B$2:B247),B247))),"_",IF(ISNUMBER(SEARCH("[",D247)),LEFT(D247,FIND("[",D247)-1),D247)),"")</f>
        <v/>
      </c>
      <c r="P247" s="90" t="n"/>
      <c r="Q247" s="83" t="inlineStr">
        <is>
          <t xml:space="preserve">Registers to control operating current, AGC function and oscillate state check function of crystal OSC. 
REG_XTALMF [3:0] 
Registers to control operating current of crystal OSC; 
REG_XTALMF [3:0]=4’b1101 is default value, 
REG_XTALMF 
[3:0]  Recommended frequency range of the crystal (Hz) 
4b’0010  4M 
4b’0011  8M 
4b’0101  16M 
4b’1000  24M 
4b’1010  32M 
4b’1100  48M 
REG_XTALMF [4] 
Default = 0; 
REG_XTALMF [7:5]   reserved
</t>
        </is>
      </c>
      <c r="R247" s="83" t="n"/>
      <c r="S247" s="83" t="n"/>
      <c r="T247" s="83" t="n"/>
    </row>
    <row r="248">
      <c r="A248" s="72" t="inlineStr">
        <is>
          <t>padring_mode.pad_ring_inst</t>
        </is>
      </c>
      <c r="B248" s="133" t="n"/>
      <c r="C248" s="83" t="inlineStr">
        <is>
          <t>core_pd.core_pd_inst</t>
        </is>
      </c>
      <c r="D248" s="83" t="inlineStr">
        <is>
          <t>XTAL32K_BYP</t>
        </is>
      </c>
      <c r="E248" s="83">
        <f>IF(AND(ISNUMBER(FIND("[",D248)),ISNUMBER(FIND("]",D248)),ISNUMBER(FIND(":",D248))),MID(D248,FIND("[",D248)+1,FIND(":",D248)-FIND("[",D248)-1)+1-MID(D248,FIND(":",D248)+1,FIND("]",D248)-FIND(":",D248)-1),IF(OR(ISNUMBER(FIND("[",D248)),ISNUMBER(FIND("]",D248)),ISNUMBER(FIND(":",D248))),"ERROR",1))</f>
        <v/>
      </c>
      <c r="F248" s="98" t="inlineStr">
        <is>
          <t>I</t>
        </is>
      </c>
      <c r="G248" s="83" t="n"/>
      <c r="H248" s="83" t="inlineStr">
        <is>
          <t>b0</t>
        </is>
      </c>
      <c r="I248" s="83" t="inlineStr">
        <is>
          <t>YES</t>
        </is>
      </c>
      <c r="J248" s="88" t="n"/>
      <c r="K248" s="88" t="n"/>
      <c r="L248" s="88" t="n"/>
      <c r="M248" s="89">
        <f>H248</f>
        <v/>
      </c>
      <c r="N248" s="88" t="n"/>
      <c r="O248" s="88">
        <f>IF(AND(OR(EXACT(F248,"I"),EXACT(F248,"O")),NOT(EXACT(P248,"NA"))),CONCATENATE("c_reg_test_sel_",RIGHT(IF(B248=0,LOOKUP(2,1/($B$2:B248&lt;&gt;0),$B$2:B248),B248),LEN(IF(B248=0,LOOKUP(2,1/($B$2:B248&lt;&gt;0),$B$2:B248),B248))-FIND(".",IF(B248=0,LOOKUP(2,1/($B$2:B248&lt;&gt;0),$B$2:B248),B248))),IF(0,CONCATENATE("&amp; !c_test_reg_pin_disable_",RIGHT(IF(B248=0,LOOKUP(2,1/($B$2:B248&lt;&gt;0),$B$2:B248),B248),LEN(IF(B248=0,LOOKUP(2,1/($B$2:B248&lt;&gt;0),$B$2:B248),B248))-FIND(".",IF(B248=0,LOOKUP(2,1/($B$2:B248&lt;&gt;0),$B$2:B248),B248)))),""),IF(P248,CONCATENATE("_grp_",P248),""),"/","c_pad_",RIGHT(IF(B248=0,LOOKUP(2,1/($B$2:B248&lt;&gt;0),$B$2:B248),B248),LEN(IF(B248=0,LOOKUP(2,1/($B$2:B248&lt;&gt;0),$B$2:B248),B248))-FIND(".",IF(B248=0,LOOKUP(2,1/($B$2:B248&lt;&gt;0),$B$2:B248),B248))),"_",IF(ISNUMBER(SEARCH("[",D248)),LEFT(D248,FIND("[",D248)-1),D248)),"")</f>
        <v/>
      </c>
      <c r="P248" s="90" t="n"/>
      <c r="Q248" s="83" t="n"/>
      <c r="R248" s="83" t="n"/>
      <c r="S248" s="83" t="n"/>
      <c r="T248" s="83" t="n"/>
    </row>
    <row r="249">
      <c r="A249" s="72" t="inlineStr">
        <is>
          <t>padring_mode.pad_ring_inst</t>
        </is>
      </c>
      <c r="B249" s="133" t="n"/>
      <c r="C249" s="83" t="inlineStr">
        <is>
          <t>core_pd.core_pd_inst</t>
        </is>
      </c>
      <c r="D249" s="83" t="inlineStr">
        <is>
          <t>XTAL32K_EN</t>
        </is>
      </c>
      <c r="E249" s="83">
        <f>IF(AND(ISNUMBER(FIND("[",D249)),ISNUMBER(FIND("]",D249)),ISNUMBER(FIND(":",D249))),MID(D249,FIND("[",D249)+1,FIND(":",D249)-FIND("[",D249)-1)+1-MID(D249,FIND(":",D249)+1,FIND("]",D249)-FIND(":",D249)-1),IF(OR(ISNUMBER(FIND("[",D249)),ISNUMBER(FIND("]",D249)),ISNUMBER(FIND(":",D249))),"ERROR",1))</f>
        <v/>
      </c>
      <c r="F249" s="98" t="inlineStr">
        <is>
          <t>I</t>
        </is>
      </c>
      <c r="G249" s="83" t="n"/>
      <c r="H249" s="83" t="inlineStr">
        <is>
          <t>b0</t>
        </is>
      </c>
      <c r="I249" s="83" t="inlineStr">
        <is>
          <t>YES</t>
        </is>
      </c>
      <c r="J249" s="88" t="n"/>
      <c r="K249" s="88" t="n"/>
      <c r="L249" s="88" t="n"/>
      <c r="M249" s="89">
        <f>H249</f>
        <v/>
      </c>
      <c r="N249" s="88" t="n"/>
      <c r="O249" s="88">
        <f>IF(AND(OR(EXACT(F249,"I"),EXACT(F249,"O")),NOT(EXACT(P249,"NA"))),CONCATENATE("c_reg_test_sel_",RIGHT(IF(B249=0,LOOKUP(2,1/($B$2:B249&lt;&gt;0),$B$2:B249),B249),LEN(IF(B249=0,LOOKUP(2,1/($B$2:B249&lt;&gt;0),$B$2:B249),B249))-FIND(".",IF(B249=0,LOOKUP(2,1/($B$2:B249&lt;&gt;0),$B$2:B249),B249))),IF(0,CONCATENATE("&amp; !c_test_reg_pin_disable_",RIGHT(IF(B249=0,LOOKUP(2,1/($B$2:B249&lt;&gt;0),$B$2:B249),B249),LEN(IF(B249=0,LOOKUP(2,1/($B$2:B249&lt;&gt;0),$B$2:B249),B249))-FIND(".",IF(B249=0,LOOKUP(2,1/($B$2:B249&lt;&gt;0),$B$2:B249),B249)))),""),IF(P249,CONCATENATE("_grp_",P249),""),"/","c_pad_",RIGHT(IF(B249=0,LOOKUP(2,1/($B$2:B249&lt;&gt;0),$B$2:B249),B249),LEN(IF(B249=0,LOOKUP(2,1/($B$2:B249&lt;&gt;0),$B$2:B249),B249))-FIND(".",IF(B249=0,LOOKUP(2,1/($B$2:B249&lt;&gt;0),$B$2:B249),B249))),"_",IF(ISNUMBER(SEARCH("[",D249)),LEFT(D249,FIND("[",D249)-1),D249)),"")</f>
        <v/>
      </c>
      <c r="P249" s="90" t="n"/>
      <c r="Q249" s="83" t="n"/>
      <c r="R249" s="83" t="n"/>
      <c r="S249" s="83" t="n"/>
      <c r="T249" s="83" t="n"/>
    </row>
    <row r="250">
      <c r="A250" s="72" t="inlineStr">
        <is>
          <t>padring_mode.pad_ring_inst</t>
        </is>
      </c>
      <c r="B250" s="133" t="n"/>
      <c r="C250" s="83" t="inlineStr">
        <is>
          <t>core_pd.core_pd_inst</t>
        </is>
      </c>
      <c r="D250" s="83" t="inlineStr">
        <is>
          <t>XTAL_BYP</t>
        </is>
      </c>
      <c r="E250" s="83">
        <f>IF(AND(ISNUMBER(FIND("[",D250)),ISNUMBER(FIND("]",D250)),ISNUMBER(FIND(":",D250))),MID(D250,FIND("[",D250)+1,FIND(":",D250)-FIND("[",D250)-1)+1-MID(D250,FIND(":",D250)+1,FIND("]",D250)-FIND(":",D250)-1),IF(OR(ISNUMBER(FIND("[",D250)),ISNUMBER(FIND("]",D250)),ISNUMBER(FIND(":",D250))),"ERROR",1))</f>
        <v/>
      </c>
      <c r="F250" s="98" t="inlineStr">
        <is>
          <t>I</t>
        </is>
      </c>
      <c r="G250" s="83" t="n"/>
      <c r="H250" s="83" t="inlineStr">
        <is>
          <t>b0</t>
        </is>
      </c>
      <c r="I250" s="83" t="inlineStr">
        <is>
          <t>YES</t>
        </is>
      </c>
      <c r="J250" s="88" t="n"/>
      <c r="K250" s="88" t="n"/>
      <c r="L250" s="88" t="n"/>
      <c r="M250" s="89">
        <f>H250</f>
        <v/>
      </c>
      <c r="N250" s="88" t="n"/>
      <c r="O250" s="88">
        <f>IF(AND(OR(EXACT(F250,"I"),EXACT(F250,"O")),NOT(EXACT(P250,"NA"))),CONCATENATE("c_reg_test_sel_",RIGHT(IF(B250=0,LOOKUP(2,1/($B$2:B250&lt;&gt;0),$B$2:B250),B250),LEN(IF(B250=0,LOOKUP(2,1/($B$2:B250&lt;&gt;0),$B$2:B250),B250))-FIND(".",IF(B250=0,LOOKUP(2,1/($B$2:B250&lt;&gt;0),$B$2:B250),B250))),IF(0,CONCATENATE("&amp; !c_test_reg_pin_disable_",RIGHT(IF(B250=0,LOOKUP(2,1/($B$2:B250&lt;&gt;0),$B$2:B250),B250),LEN(IF(B250=0,LOOKUP(2,1/($B$2:B250&lt;&gt;0),$B$2:B250),B250))-FIND(".",IF(B250=0,LOOKUP(2,1/($B$2:B250&lt;&gt;0),$B$2:B250),B250)))),""),IF(P250,CONCATENATE("_grp_",P250),""),"/","c_pad_",RIGHT(IF(B250=0,LOOKUP(2,1/($B$2:B250&lt;&gt;0),$B$2:B250),B250),LEN(IF(B250=0,LOOKUP(2,1/($B$2:B250&lt;&gt;0),$B$2:B250),B250))-FIND(".",IF(B250=0,LOOKUP(2,1/($B$2:B250&lt;&gt;0),$B$2:B250),B250))),"_",IF(ISNUMBER(SEARCH("[",D250)),LEFT(D250,FIND("[",D250)-1),D250)),"")</f>
        <v/>
      </c>
      <c r="P250" s="90" t="n"/>
      <c r="Q250" s="83" t="n"/>
      <c r="R250" s="83" t="n"/>
      <c r="S250" s="83" t="n"/>
      <c r="T250" s="83" t="n"/>
    </row>
    <row r="251">
      <c r="A251" s="72" t="inlineStr">
        <is>
          <t>padring_mode.pad_ring_inst</t>
        </is>
      </c>
      <c r="B251" s="133" t="n"/>
      <c r="C251" s="83" t="inlineStr">
        <is>
          <t>core_pd.core_pd_inst</t>
        </is>
      </c>
      <c r="D251" s="83" t="inlineStr">
        <is>
          <t>XTAL_EN</t>
        </is>
      </c>
      <c r="E251" s="83">
        <f>IF(AND(ISNUMBER(FIND("[",D251)),ISNUMBER(FIND("]",D251)),ISNUMBER(FIND(":",D251))),MID(D251,FIND("[",D251)+1,FIND(":",D251)-FIND("[",D251)-1)+1-MID(D251,FIND(":",D251)+1,FIND("]",D251)-FIND(":",D251)-1),IF(OR(ISNUMBER(FIND("[",D251)),ISNUMBER(FIND("]",D251)),ISNUMBER(FIND(":",D251))),"ERROR",1))</f>
        <v/>
      </c>
      <c r="F251" s="98" t="inlineStr">
        <is>
          <t>I</t>
        </is>
      </c>
      <c r="G251" s="83" t="n"/>
      <c r="H251" s="83" t="inlineStr">
        <is>
          <t>b0</t>
        </is>
      </c>
      <c r="I251" s="83" t="inlineStr">
        <is>
          <t>YES</t>
        </is>
      </c>
      <c r="J251" s="88" t="n"/>
      <c r="K251" s="88" t="n"/>
      <c r="L251" s="88" t="n"/>
      <c r="M251" s="89">
        <f>H251</f>
        <v/>
      </c>
      <c r="N251" s="88" t="n"/>
      <c r="O251" s="88">
        <f>IF(AND(OR(EXACT(F251,"I"),EXACT(F251,"O")),NOT(EXACT(P251,"NA"))),CONCATENATE("c_reg_test_sel_",RIGHT(IF(B251=0,LOOKUP(2,1/($B$2:B251&lt;&gt;0),$B$2:B251),B251),LEN(IF(B251=0,LOOKUP(2,1/($B$2:B251&lt;&gt;0),$B$2:B251),B251))-FIND(".",IF(B251=0,LOOKUP(2,1/($B$2:B251&lt;&gt;0),$B$2:B251),B251))),IF(0,CONCATENATE("&amp; !c_test_reg_pin_disable_",RIGHT(IF(B251=0,LOOKUP(2,1/($B$2:B251&lt;&gt;0),$B$2:B251),B251),LEN(IF(B251=0,LOOKUP(2,1/($B$2:B251&lt;&gt;0),$B$2:B251),B251))-FIND(".",IF(B251=0,LOOKUP(2,1/($B$2:B251&lt;&gt;0),$B$2:B251),B251)))),""),IF(P251,CONCATENATE("_grp_",P251),""),"/","c_pad_",RIGHT(IF(B251=0,LOOKUP(2,1/($B$2:B251&lt;&gt;0),$B$2:B251),B251),LEN(IF(B251=0,LOOKUP(2,1/($B$2:B251&lt;&gt;0),$B$2:B251),B251))-FIND(".",IF(B251=0,LOOKUP(2,1/($B$2:B251&lt;&gt;0),$B$2:B251),B251))),"_",IF(ISNUMBER(SEARCH("[",D251)),LEFT(D251,FIND("[",D251)-1),D251)),"")</f>
        <v/>
      </c>
      <c r="P251" s="90" t="n"/>
      <c r="Q251" s="83" t="n"/>
      <c r="R251" s="83" t="n"/>
      <c r="S251" s="83" t="n"/>
      <c r="T251" s="83" t="n"/>
    </row>
    <row r="252" hidden="1" s="26">
      <c r="A252" s="72" t="inlineStr">
        <is>
          <t>padring_mode.pad_ring_inst</t>
        </is>
      </c>
      <c r="B252" s="133" t="n"/>
      <c r="C252" s="83" t="inlineStr">
        <is>
          <t>core_pd.core_pd_inst</t>
        </is>
      </c>
      <c r="D252" s="83" t="inlineStr">
        <is>
          <t>ext_ldo_en_c</t>
        </is>
      </c>
      <c r="E252" s="83">
        <f>IF(AND(ISNUMBER(FIND("[",D252)),ISNUMBER(FIND("]",D252)),ISNUMBER(FIND(":",D252))),MID(D252,FIND("[",D252)+1,FIND(":",D252)-FIND("[",D252)-1)+1-MID(D252,FIND(":",D252)+1,FIND("]",D252)-FIND(":",D252)-1),IF(OR(ISNUMBER(FIND("[",D252)),ISNUMBER(FIND("]",D252)),ISNUMBER(FIND(":",D252))),"ERROR",1))</f>
        <v/>
      </c>
      <c r="F252" s="98" t="inlineStr">
        <is>
          <t>O</t>
        </is>
      </c>
      <c r="G252" s="83" t="n"/>
      <c r="H252" s="83" t="n"/>
      <c r="I252" s="83" t="inlineStr">
        <is>
          <t>YES</t>
        </is>
      </c>
      <c r="J252" s="88" t="n"/>
      <c r="K252" s="88" t="n"/>
      <c r="L252" s="88" t="n"/>
      <c r="M252" s="89">
        <f>H252</f>
        <v/>
      </c>
      <c r="N252" s="88" t="n"/>
      <c r="O252" s="88">
        <f>IF(AND(OR(EXACT(F252,"I"),EXACT(F252,"O")),NOT(EXACT(P252,"NA"))),CONCATENATE("c_reg_test_sel_",RIGHT(IF(B252=0,LOOKUP(2,1/($B$2:B252&lt;&gt;0),$B$2:B252),B252),LEN(IF(B252=0,LOOKUP(2,1/($B$2:B252&lt;&gt;0),$B$2:B252),B252))-FIND(".",IF(B252=0,LOOKUP(2,1/($B$2:B252&lt;&gt;0),$B$2:B252),B252))),IF(0,CONCATENATE("&amp; !c_test_reg_pin_disable_",RIGHT(IF(B252=0,LOOKUP(2,1/($B$2:B252&lt;&gt;0),$B$2:B252),B252),LEN(IF(B252=0,LOOKUP(2,1/($B$2:B252&lt;&gt;0),$B$2:B252),B252))-FIND(".",IF(B252=0,LOOKUP(2,1/($B$2:B252&lt;&gt;0),$B$2:B252),B252)))),""),IF(P252,CONCATENATE("_grp_",P252),""),"/","c_pad_",RIGHT(IF(B252=0,LOOKUP(2,1/($B$2:B252&lt;&gt;0),$B$2:B252),B252),LEN(IF(B252=0,LOOKUP(2,1/($B$2:B252&lt;&gt;0),$B$2:B252),B252))-FIND(".",IF(B252=0,LOOKUP(2,1/($B$2:B252&lt;&gt;0),$B$2:B252),B252))),"_",IF(ISNUMBER(SEARCH("[",D252)),LEFT(D252,FIND("[",D252)-1),D252)),"")</f>
        <v/>
      </c>
      <c r="P252" s="90" t="inlineStr">
        <is>
          <t>NA</t>
        </is>
      </c>
      <c r="Q252" s="83" t="n"/>
      <c r="R252" s="83" t="n"/>
      <c r="S252" s="83" t="n"/>
      <c r="T252" s="83" t="n"/>
    </row>
    <row r="253" hidden="1" s="26">
      <c r="A253" s="72" t="inlineStr">
        <is>
          <t>padring_mode.pad_ring_inst</t>
        </is>
      </c>
      <c r="B253" s="133" t="n"/>
      <c r="C253" s="83" t="inlineStr">
        <is>
          <t>core_pd.core_pd_inst</t>
        </is>
      </c>
      <c r="D253" s="83" t="inlineStr">
        <is>
          <t>ext_rstn_c</t>
        </is>
      </c>
      <c r="E253" s="83">
        <f>IF(AND(ISNUMBER(FIND("[",D253)),ISNUMBER(FIND("]",D253)),ISNUMBER(FIND(":",D253))),MID(D253,FIND("[",D253)+1,FIND(":",D253)-FIND("[",D253)-1)+1-MID(D253,FIND(":",D253)+1,FIND("]",D253)-FIND(":",D253)-1),IF(OR(ISNUMBER(FIND("[",D253)),ISNUMBER(FIND("]",D253)),ISNUMBER(FIND(":",D253))),"ERROR",1))</f>
        <v/>
      </c>
      <c r="F253" s="98" t="inlineStr">
        <is>
          <t>O</t>
        </is>
      </c>
      <c r="G253" s="83" t="n"/>
      <c r="H253" s="83" t="n"/>
      <c r="I253" s="83" t="inlineStr">
        <is>
          <t>YES</t>
        </is>
      </c>
      <c r="J253" s="88" t="n"/>
      <c r="K253" s="88" t="n"/>
      <c r="L253" s="88" t="n"/>
      <c r="M253" s="89">
        <f>H253</f>
        <v/>
      </c>
      <c r="N253" s="88" t="n"/>
      <c r="O253" s="88">
        <f>IF(AND(OR(EXACT(F253,"I"),EXACT(F253,"O")),NOT(EXACT(P253,"NA"))),CONCATENATE("c_reg_test_sel_",RIGHT(IF(B253=0,LOOKUP(2,1/($B$2:B253&lt;&gt;0),$B$2:B253),B253),LEN(IF(B253=0,LOOKUP(2,1/($B$2:B253&lt;&gt;0),$B$2:B253),B253))-FIND(".",IF(B253=0,LOOKUP(2,1/($B$2:B253&lt;&gt;0),$B$2:B253),B253))),IF(0,CONCATENATE("&amp; !c_test_reg_pin_disable_",RIGHT(IF(B253=0,LOOKUP(2,1/($B$2:B253&lt;&gt;0),$B$2:B253),B253),LEN(IF(B253=0,LOOKUP(2,1/($B$2:B253&lt;&gt;0),$B$2:B253),B253))-FIND(".",IF(B253=0,LOOKUP(2,1/($B$2:B253&lt;&gt;0),$B$2:B253),B253)))),""),IF(P253,CONCATENATE("_grp_",P253),""),"/","c_pad_",RIGHT(IF(B253=0,LOOKUP(2,1/($B$2:B253&lt;&gt;0),$B$2:B253),B253),LEN(IF(B253=0,LOOKUP(2,1/($B$2:B253&lt;&gt;0),$B$2:B253),B253))-FIND(".",IF(B253=0,LOOKUP(2,1/($B$2:B253&lt;&gt;0),$B$2:B253),B253))),"_",IF(ISNUMBER(SEARCH("[",D253)),LEFT(D253,FIND("[",D253)-1),D253)),"")</f>
        <v/>
      </c>
      <c r="P253" s="90" t="inlineStr">
        <is>
          <t>NA</t>
        </is>
      </c>
      <c r="Q253" s="83" t="n"/>
      <c r="R253" s="83" t="n"/>
      <c r="S253" s="83" t="n"/>
      <c r="T253" s="83" t="n"/>
    </row>
    <row r="254" hidden="1" s="26">
      <c r="A254" s="72" t="inlineStr">
        <is>
          <t>padring_mode.pad_ring_inst</t>
        </is>
      </c>
      <c r="B254" s="133" t="n"/>
      <c r="C254" s="83" t="inlineStr">
        <is>
          <t>core_pd.core_pd_inst</t>
        </is>
      </c>
      <c r="D254" s="83" t="inlineStr">
        <is>
          <t>ext_rstn_en_c</t>
        </is>
      </c>
      <c r="E254" s="83">
        <f>IF(AND(ISNUMBER(FIND("[",D254)),ISNUMBER(FIND("]",D254)),ISNUMBER(FIND(":",D254))),MID(D254,FIND("[",D254)+1,FIND(":",D254)-FIND("[",D254)-1)+1-MID(D254,FIND(":",D254)+1,FIND("]",D254)-FIND(":",D254)-1),IF(OR(ISNUMBER(FIND("[",D254)),ISNUMBER(FIND("]",D254)),ISNUMBER(FIND(":",D254))),"ERROR",1))</f>
        <v/>
      </c>
      <c r="F254" s="98" t="inlineStr">
        <is>
          <t>O</t>
        </is>
      </c>
      <c r="G254" s="83" t="n"/>
      <c r="H254" s="83" t="n"/>
      <c r="I254" s="83" t="inlineStr">
        <is>
          <t>YES</t>
        </is>
      </c>
      <c r="J254" s="88" t="n"/>
      <c r="K254" s="88" t="n"/>
      <c r="L254" s="88" t="n"/>
      <c r="M254" s="89">
        <f>H254</f>
        <v/>
      </c>
      <c r="N254" s="88" t="n"/>
      <c r="O254" s="88">
        <f>IF(AND(OR(EXACT(F254,"I"),EXACT(F254,"O")),NOT(EXACT(P254,"NA"))),CONCATENATE("c_reg_test_sel_",RIGHT(IF(B254=0,LOOKUP(2,1/($B$2:B254&lt;&gt;0),$B$2:B254),B254),LEN(IF(B254=0,LOOKUP(2,1/($B$2:B254&lt;&gt;0),$B$2:B254),B254))-FIND(".",IF(B254=0,LOOKUP(2,1/($B$2:B254&lt;&gt;0),$B$2:B254),B254))),IF(0,CONCATENATE("&amp; !c_test_reg_pin_disable_",RIGHT(IF(B254=0,LOOKUP(2,1/($B$2:B254&lt;&gt;0),$B$2:B254),B254),LEN(IF(B254=0,LOOKUP(2,1/($B$2:B254&lt;&gt;0),$B$2:B254),B254))-FIND(".",IF(B254=0,LOOKUP(2,1/($B$2:B254&lt;&gt;0),$B$2:B254),B254)))),""),IF(P254,CONCATENATE("_grp_",P254),""),"/","c_pad_",RIGHT(IF(B254=0,LOOKUP(2,1/($B$2:B254&lt;&gt;0),$B$2:B254),B254),LEN(IF(B254=0,LOOKUP(2,1/($B$2:B254&lt;&gt;0),$B$2:B254),B254))-FIND(".",IF(B254=0,LOOKUP(2,1/($B$2:B254&lt;&gt;0),$B$2:B254),B254))),"_",IF(ISNUMBER(SEARCH("[",D254)),LEFT(D254,FIND("[",D254)-1),D254)),"")</f>
        <v/>
      </c>
      <c r="P254" s="90" t="inlineStr">
        <is>
          <t>NA</t>
        </is>
      </c>
      <c r="Q254" s="83" t="n"/>
      <c r="R254" s="83" t="n"/>
      <c r="S254" s="83" t="n"/>
      <c r="T254" s="83" t="n"/>
    </row>
    <row r="255" hidden="1" s="26">
      <c r="A255" s="72" t="inlineStr">
        <is>
          <t>padring_mode.pad_ring_inst</t>
        </is>
      </c>
      <c r="B255" s="133" t="n"/>
      <c r="C255" s="83" t="inlineStr">
        <is>
          <t>core_pd.core_pd_inst</t>
        </is>
      </c>
      <c r="D255" s="83" t="inlineStr">
        <is>
          <t>XC</t>
        </is>
      </c>
      <c r="E255" s="83">
        <f>IF(AND(ISNUMBER(FIND("[",D255)),ISNUMBER(FIND("]",D255)),ISNUMBER(FIND(":",D255))),MID(D255,FIND("[",D255)+1,FIND(":",D255)-FIND("[",D255)-1)+1-MID(D255,FIND(":",D255)+1,FIND("]",D255)-FIND(":",D255)-1),IF(OR(ISNUMBER(FIND("[",D255)),ISNUMBER(FIND("]",D255)),ISNUMBER(FIND(":",D255))),"ERROR",1))</f>
        <v/>
      </c>
      <c r="F255" s="98" t="inlineStr">
        <is>
          <t>O</t>
        </is>
      </c>
      <c r="G255" s="83" t="n"/>
      <c r="H255" s="83" t="n"/>
      <c r="I255" s="83" t="inlineStr">
        <is>
          <t>NO</t>
        </is>
      </c>
      <c r="J255" s="88" t="n"/>
      <c r="K255" s="88" t="n"/>
      <c r="L255" s="88" t="n"/>
      <c r="M255" s="89">
        <f>H255</f>
        <v/>
      </c>
      <c r="N255" s="88" t="n"/>
      <c r="O255" s="88">
        <f>IF(AND(OR(EXACT(F255,"I"),EXACT(F255,"O")),NOT(EXACT(P255,"NA"))),CONCATENATE("c_reg_test_sel_",RIGHT(IF(B255=0,LOOKUP(2,1/($B$2:B255&lt;&gt;0),$B$2:B255),B255),LEN(IF(B255=0,LOOKUP(2,1/($B$2:B255&lt;&gt;0),$B$2:B255),B255))-FIND(".",IF(B255=0,LOOKUP(2,1/($B$2:B255&lt;&gt;0),$B$2:B255),B255))),IF(0,CONCATENATE("&amp; !c_test_reg_pin_disable_",RIGHT(IF(B255=0,LOOKUP(2,1/($B$2:B255&lt;&gt;0),$B$2:B255),B255),LEN(IF(B255=0,LOOKUP(2,1/($B$2:B255&lt;&gt;0),$B$2:B255),B255))-FIND(".",IF(B255=0,LOOKUP(2,1/($B$2:B255&lt;&gt;0),$B$2:B255),B255)))),""),IF(P255,CONCATENATE("_grp_",P255),""),"/","c_pad_",RIGHT(IF(B255=0,LOOKUP(2,1/($B$2:B255&lt;&gt;0),$B$2:B255),B255),LEN(IF(B255=0,LOOKUP(2,1/($B$2:B255&lt;&gt;0),$B$2:B255),B255))-FIND(".",IF(B255=0,LOOKUP(2,1/($B$2:B255&lt;&gt;0),$B$2:B255),B255))),"_",IF(ISNUMBER(SEARCH("[",D255)),LEFT(D255,FIND("[",D255)-1),D255)),"")</f>
        <v/>
      </c>
      <c r="P255" s="90" t="n"/>
      <c r="Q255" s="83" t="n"/>
      <c r="R255" s="83" t="n"/>
      <c r="S255" s="83" t="n"/>
      <c r="T255" s="83" t="n"/>
    </row>
    <row r="256" hidden="1" s="26">
      <c r="A256" s="72" t="inlineStr">
        <is>
          <t>padring_mode.pad_ring_inst</t>
        </is>
      </c>
      <c r="B256" s="134" t="n"/>
      <c r="C256" s="83" t="inlineStr">
        <is>
          <t>core_pd.core_pd_inst</t>
        </is>
      </c>
      <c r="D256" s="83" t="inlineStr">
        <is>
          <t>XTAL32K_XC</t>
        </is>
      </c>
      <c r="E256" s="83">
        <f>IF(AND(ISNUMBER(FIND("[",D256)),ISNUMBER(FIND("]",D256)),ISNUMBER(FIND(":",D256))),MID(D256,FIND("[",D256)+1,FIND(":",D256)-FIND("[",D256)-1)+1-MID(D256,FIND(":",D256)+1,FIND("]",D256)-FIND(":",D256)-1),IF(OR(ISNUMBER(FIND("[",D256)),ISNUMBER(FIND("]",D256)),ISNUMBER(FIND(":",D256))),"ERROR",1))</f>
        <v/>
      </c>
      <c r="F256" s="98" t="inlineStr">
        <is>
          <t>O</t>
        </is>
      </c>
      <c r="G256" s="83" t="n"/>
      <c r="H256" s="83" t="n"/>
      <c r="I256" s="83" t="inlineStr">
        <is>
          <t>NO</t>
        </is>
      </c>
      <c r="J256" s="88" t="n"/>
      <c r="K256" s="88" t="n"/>
      <c r="L256" s="88" t="n"/>
      <c r="M256" s="89">
        <f>H256</f>
        <v/>
      </c>
      <c r="N256" s="88" t="n"/>
      <c r="O256" s="88">
        <f>IF(AND(OR(EXACT(F256,"I"),EXACT(F256,"O")),NOT(EXACT(P256,"NA"))),CONCATENATE("c_reg_test_sel_",RIGHT(IF(B256=0,LOOKUP(2,1/($B$2:B256&lt;&gt;0),$B$2:B256),B256),LEN(IF(B256=0,LOOKUP(2,1/($B$2:B256&lt;&gt;0),$B$2:B256),B256))-FIND(".",IF(B256=0,LOOKUP(2,1/($B$2:B256&lt;&gt;0),$B$2:B256),B256))),IF(0,CONCATENATE("&amp; !c_test_reg_pin_disable_",RIGHT(IF(B256=0,LOOKUP(2,1/($B$2:B256&lt;&gt;0),$B$2:B256),B256),LEN(IF(B256=0,LOOKUP(2,1/($B$2:B256&lt;&gt;0),$B$2:B256),B256))-FIND(".",IF(B256=0,LOOKUP(2,1/($B$2:B256&lt;&gt;0),$B$2:B256),B256)))),""),IF(P256,CONCATENATE("_grp_",P256),""),"/","c_pad_",RIGHT(IF(B256=0,LOOKUP(2,1/($B$2:B256&lt;&gt;0),$B$2:B256),B256),LEN(IF(B256=0,LOOKUP(2,1/($B$2:B256&lt;&gt;0),$B$2:B256),B256))-FIND(".",IF(B256=0,LOOKUP(2,1/($B$2:B256&lt;&gt;0),$B$2:B256),B256))),"_",IF(ISNUMBER(SEARCH("[",D256)),LEFT(D256,FIND("[",D256)-1),D256)),"")</f>
        <v/>
      </c>
      <c r="P256" s="90" t="n"/>
      <c r="Q256" s="83" t="n"/>
      <c r="R256" s="83" t="n"/>
      <c r="S256" s="83" t="n"/>
      <c r="T256" s="83" t="n"/>
    </row>
  </sheetData>
  <autoFilter ref="A1:T256">
    <filterColumn colId="5" hiddenButton="0" showButton="1">
      <customFilters>
        <customFilter val="I" operator="equal"/>
      </customFilters>
    </filterColumn>
  </autoFilter>
  <mergeCells count="13">
    <mergeCell ref="B210:B221"/>
    <mergeCell ref="B32:B56"/>
    <mergeCell ref="B57:B71"/>
    <mergeCell ref="B2:B11"/>
    <mergeCell ref="B72:B115"/>
    <mergeCell ref="B170:B186"/>
    <mergeCell ref="B187:B209"/>
    <mergeCell ref="B19:B31"/>
    <mergeCell ref="B12:B18"/>
    <mergeCell ref="B116:B169"/>
    <mergeCell ref="B222:B233"/>
    <mergeCell ref="B238:B256"/>
    <mergeCell ref="B234:B237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M269"/>
  <sheetViews>
    <sheetView zoomScale="85" zoomScaleNormal="85" workbookViewId="0">
      <selection activeCell="D10" sqref="D10"/>
    </sheetView>
  </sheetViews>
  <sheetFormatPr baseColWidth="8" defaultColWidth="9" defaultRowHeight="14.25"/>
  <cols>
    <col width="15.2166666666667" customWidth="1" style="27" min="1" max="1"/>
    <col width="15" customWidth="1" style="27" min="2" max="2"/>
    <col width="22.775" customWidth="1" style="27" min="3" max="3"/>
    <col width="24.8833333333333" customWidth="1" style="27" min="4" max="4"/>
    <col width="29.1083333333333" customWidth="1" style="27" min="5" max="5"/>
    <col width="23.2166666666667" customWidth="1" style="27" min="6" max="6"/>
    <col width="26.6666666666667" customWidth="1" style="27" min="7" max="7"/>
    <col width="27.6666666666667" customWidth="1" style="27" min="8" max="8"/>
    <col width="23.2166666666667" customWidth="1" style="27" min="9" max="9"/>
    <col width="28.1083333333333" customWidth="1" style="27" min="10" max="10"/>
    <col width="24.3333333333333" customWidth="1" style="27" min="11" max="11"/>
    <col width="32.2166666666667" customWidth="1" style="27" min="12" max="12"/>
    <col width="9" customWidth="1" style="27" min="13" max="16384"/>
  </cols>
  <sheetData>
    <row r="1">
      <c r="A1" s="28" t="inlineStr">
        <is>
          <t>DEC_BYTE_ADDR</t>
        </is>
      </c>
      <c r="B1" s="28" t="inlineStr">
        <is>
          <t>HEX_BYTE_ADDR</t>
        </is>
      </c>
      <c r="C1" s="29" t="inlineStr">
        <is>
          <t>REG32_NAME</t>
        </is>
      </c>
      <c r="D1" s="29" t="inlineStr">
        <is>
          <t>REG_NAME</t>
        </is>
      </c>
      <c r="E1" s="30" t="inlineStr">
        <is>
          <t>REG_FIELD</t>
        </is>
      </c>
      <c r="F1" s="135" t="n"/>
      <c r="G1" s="135" t="n"/>
      <c r="H1" s="135" t="n"/>
      <c r="I1" s="135" t="n"/>
      <c r="J1" s="135" t="n"/>
      <c r="K1" s="135" t="n"/>
      <c r="L1" s="132" t="n"/>
      <c r="M1" t="inlineStr">
        <is>
          <t>EDITED_HEX_VALUE</t>
        </is>
      </c>
    </row>
    <row r="2">
      <c r="A2" s="28" t="n">
        <v>0</v>
      </c>
      <c r="B2" s="28">
        <f>CONCATENATE("0x",DEC2HEX(A2,4))</f>
        <v/>
      </c>
      <c r="C2" s="28" t="inlineStr">
        <is>
          <t>CHIPID_WADDR</t>
        </is>
      </c>
      <c r="D2" s="28" t="inlineStr">
        <is>
          <t>CHIP_ID_0</t>
        </is>
      </c>
      <c r="E2" s="28" t="inlineStr">
        <is>
          <t>chip_id_0[0x90]</t>
        </is>
      </c>
      <c r="F2" s="135" t="n"/>
      <c r="G2" s="135" t="n"/>
      <c r="H2" s="135" t="n"/>
      <c r="I2" s="135" t="n"/>
      <c r="J2" s="135" t="n"/>
      <c r="K2" s="135" t="n"/>
      <c r="L2" s="132" t="n"/>
      <c r="M2" t="inlineStr">
        <is>
          <t>0x90</t>
        </is>
      </c>
    </row>
    <row r="3">
      <c r="A3" s="28" t="n">
        <v>1</v>
      </c>
      <c r="B3" s="28">
        <f>CONCATENATE("0x",DEC2HEX(A3,4))</f>
        <v/>
      </c>
      <c r="C3" s="133" t="n"/>
      <c r="D3" s="28" t="inlineStr">
        <is>
          <t>CHIP_ID_1</t>
        </is>
      </c>
      <c r="E3" s="28" t="inlineStr">
        <is>
          <t>chip_id_1[0x00]</t>
        </is>
      </c>
      <c r="F3" s="135" t="n"/>
      <c r="G3" s="135" t="n"/>
      <c r="H3" s="135" t="n"/>
      <c r="I3" s="135" t="n"/>
      <c r="J3" s="135" t="n"/>
      <c r="K3" s="135" t="n"/>
      <c r="L3" s="132" t="n"/>
      <c r="M3" t="inlineStr">
        <is>
          <t>0x00</t>
        </is>
      </c>
    </row>
    <row r="4">
      <c r="A4" s="28" t="n">
        <v>2</v>
      </c>
      <c r="B4" s="28">
        <f>CONCATENATE("0x",DEC2HEX(A4,4))</f>
        <v/>
      </c>
      <c r="C4" s="133" t="n"/>
      <c r="D4" s="28" t="inlineStr">
        <is>
          <t>CHIP_ID_2</t>
        </is>
      </c>
      <c r="E4" s="28" t="inlineStr">
        <is>
          <t>verion_id[0x01]</t>
        </is>
      </c>
      <c r="F4" s="135" t="n"/>
      <c r="G4" s="135" t="n"/>
      <c r="H4" s="135" t="n"/>
      <c r="I4" s="135" t="n"/>
      <c r="J4" s="135" t="n"/>
      <c r="K4" s="135" t="n"/>
      <c r="L4" s="132" t="n"/>
      <c r="M4" t="inlineStr">
        <is>
          <t>0x01</t>
        </is>
      </c>
    </row>
    <row r="5">
      <c r="A5" s="28" t="n">
        <v>3</v>
      </c>
      <c r="B5" s="28">
        <f>CONCATENATE("0x",DEC2HEX(A5,4))</f>
        <v/>
      </c>
      <c r="C5" s="134" t="n"/>
      <c r="D5" s="28" t="inlineStr">
        <is>
          <t>CHIP_ID_3</t>
        </is>
      </c>
      <c r="E5" s="33" t="n"/>
      <c r="F5" s="33" t="n"/>
      <c r="G5" s="33" t="n"/>
      <c r="H5" s="33" t="n"/>
      <c r="I5" s="33" t="n"/>
      <c r="J5" s="33" t="n"/>
      <c r="K5" s="33" t="n"/>
      <c r="L5" s="33" t="n"/>
      <c r="M5" t="inlineStr">
        <is>
          <t>0x00</t>
        </is>
      </c>
    </row>
    <row r="6">
      <c r="A6" s="28" t="n">
        <v>4</v>
      </c>
      <c r="B6" s="28">
        <f>CONCATENATE("0x",DEC2HEX(A6,4))</f>
        <v/>
      </c>
      <c r="C6" s="28" t="inlineStr">
        <is>
          <t>ADC_WADDR_0</t>
        </is>
      </c>
      <c r="D6" s="28" t="inlineStr">
        <is>
          <t>ADC_Byte_0</t>
        </is>
      </c>
      <c r="E6" s="28" t="inlineStr">
        <is>
          <t>adc_inst_BOUTL_0</t>
        </is>
      </c>
      <c r="F6" s="135" t="n"/>
      <c r="G6" s="135" t="n"/>
      <c r="H6" s="135" t="n"/>
      <c r="I6" s="135" t="n"/>
      <c r="J6" s="135" t="n"/>
      <c r="K6" s="135" t="n"/>
      <c r="L6" s="132" t="n"/>
      <c r="M6" t="inlineStr">
        <is>
          <t>0x00</t>
        </is>
      </c>
    </row>
    <row r="7">
      <c r="A7" s="28" t="n">
        <v>5</v>
      </c>
      <c r="B7" s="28">
        <f>CONCATENATE("0x",DEC2HEX(A7,4))</f>
        <v/>
      </c>
      <c r="C7" s="133" t="n"/>
      <c r="D7" s="28" t="inlineStr">
        <is>
          <t>ADC_Byte_1</t>
        </is>
      </c>
      <c r="E7" s="58" t="n"/>
      <c r="F7" s="58" t="n"/>
      <c r="G7" s="58" t="n"/>
      <c r="H7" s="58" t="n"/>
      <c r="I7" s="28" t="inlineStr">
        <is>
          <t>adc_inst_BOUTL_1</t>
        </is>
      </c>
      <c r="J7" s="135" t="n"/>
      <c r="K7" s="135" t="n"/>
      <c r="L7" s="132" t="n"/>
      <c r="M7" t="inlineStr">
        <is>
          <t>0x00</t>
        </is>
      </c>
    </row>
    <row r="8">
      <c r="A8" s="28" t="n">
        <v>6</v>
      </c>
      <c r="B8" s="28">
        <f>CONCATENATE("0x",DEC2HEX(A8,4))</f>
        <v/>
      </c>
      <c r="C8" s="133" t="n"/>
      <c r="D8" s="28" t="inlineStr">
        <is>
          <t>ADC_Byte_2</t>
        </is>
      </c>
      <c r="E8" s="33" t="n"/>
      <c r="F8" s="33" t="n"/>
      <c r="G8" s="33" t="n"/>
      <c r="H8" s="33" t="n"/>
      <c r="I8" s="28" t="inlineStr">
        <is>
          <t>adc_inst_LI_ADC_VINSEL</t>
        </is>
      </c>
      <c r="J8" s="135" t="n"/>
      <c r="K8" s="135" t="n"/>
      <c r="L8" s="132" t="n"/>
      <c r="M8" t="inlineStr">
        <is>
          <t>0x00</t>
        </is>
      </c>
    </row>
    <row r="9">
      <c r="A9" s="28" t="n">
        <v>7</v>
      </c>
      <c r="B9" s="28">
        <f>CONCATENATE("0x",DEC2HEX(A9,4))</f>
        <v/>
      </c>
      <c r="C9" s="134" t="n"/>
      <c r="D9" s="28" t="inlineStr">
        <is>
          <t>ADC_Byte_3</t>
        </is>
      </c>
      <c r="E9" s="58" t="n"/>
      <c r="F9" s="33" t="n"/>
      <c r="G9" s="33" t="n"/>
      <c r="H9" s="33" t="n"/>
      <c r="I9" s="28" t="inlineStr">
        <is>
          <t>adc_inst_LI_ADC_VREFTRIM[0x8]</t>
        </is>
      </c>
      <c r="J9" s="135" t="n"/>
      <c r="K9" s="135" t="n"/>
      <c r="L9" s="132" t="n"/>
      <c r="M9" t="inlineStr">
        <is>
          <t>0x08</t>
        </is>
      </c>
    </row>
    <row r="10">
      <c r="A10" s="28" t="n">
        <v>8</v>
      </c>
      <c r="B10" s="28">
        <f>CONCATENATE("0x",DEC2HEX(A10,4))</f>
        <v/>
      </c>
      <c r="C10" s="28" t="inlineStr">
        <is>
          <t>ADC_WADDR_1</t>
        </is>
      </c>
      <c r="D10" s="28" t="inlineStr">
        <is>
          <t>ADC_Byte_4</t>
        </is>
      </c>
      <c r="E10" s="33" t="n"/>
      <c r="F10" s="58" t="n"/>
      <c r="G10" s="58" t="n"/>
      <c r="H10" s="58" t="n"/>
      <c r="I10" s="58" t="n"/>
      <c r="J10" s="58" t="n"/>
      <c r="K10" s="58" t="n"/>
      <c r="L10" s="28" t="inlineStr">
        <is>
          <t>adc_inst_LI_ADC_SAMPT</t>
        </is>
      </c>
      <c r="M10" t="inlineStr">
        <is>
          <t>0x00</t>
        </is>
      </c>
    </row>
    <row r="11">
      <c r="A11" s="28" t="n">
        <v>9</v>
      </c>
      <c r="B11" s="28">
        <f>CONCATENATE("0x",DEC2HEX(A11,4))</f>
        <v/>
      </c>
      <c r="C11" s="133" t="n"/>
      <c r="D11" s="28" t="inlineStr">
        <is>
          <t>ADC_Byte_5</t>
        </is>
      </c>
      <c r="E11" s="33" t="n"/>
      <c r="F11" s="33" t="n"/>
      <c r="G11" s="33" t="n"/>
      <c r="H11" s="33" t="n"/>
      <c r="I11" s="58" t="n"/>
      <c r="J11" s="58" t="n"/>
      <c r="K11" s="28" t="inlineStr">
        <is>
          <t>adc_inst_LI_ADC_VREFSEL[0x3]</t>
        </is>
      </c>
      <c r="L11" s="132" t="n"/>
      <c r="M11" t="inlineStr">
        <is>
          <t>0x03</t>
        </is>
      </c>
    </row>
    <row r="12">
      <c r="A12" s="28" t="n">
        <v>10</v>
      </c>
      <c r="B12" s="28">
        <f>CONCATENATE("0x",DEC2HEX(A12,4))</f>
        <v/>
      </c>
      <c r="C12" s="133" t="n"/>
      <c r="D12" s="28" t="inlineStr">
        <is>
          <t>ADC_Byte_6</t>
        </is>
      </c>
      <c r="E12" s="33" t="n"/>
      <c r="F12" s="33" t="n"/>
      <c r="G12" s="33" t="n"/>
      <c r="H12" s="33" t="n"/>
      <c r="I12" s="33" t="n"/>
      <c r="J12" s="33" t="n"/>
      <c r="K12" s="33" t="n"/>
      <c r="L12" s="28" t="inlineStr">
        <is>
          <t>adc_inst_EOCL</t>
        </is>
      </c>
      <c r="M12" t="inlineStr">
        <is>
          <t>0x00</t>
        </is>
      </c>
    </row>
    <row r="13">
      <c r="A13" s="28" t="n">
        <v>11</v>
      </c>
      <c r="B13" s="28">
        <f>CONCATENATE("0x",DEC2HEX(A13,4))</f>
        <v/>
      </c>
      <c r="C13" s="134" t="n"/>
      <c r="D13" s="28" t="inlineStr">
        <is>
          <t>ADC_Byte_7</t>
        </is>
      </c>
      <c r="E13" s="33" t="n"/>
      <c r="F13" s="33" t="n"/>
      <c r="G13" s="33" t="n"/>
      <c r="H13" s="28" t="inlineStr">
        <is>
          <t>adc_inst_Single</t>
        </is>
      </c>
      <c r="I13" s="33" t="n"/>
      <c r="J13" s="28" t="n"/>
      <c r="K13" s="28" t="inlineStr">
        <is>
          <t>adc_inst_LI_ADC_SOC</t>
        </is>
      </c>
      <c r="L13" s="28" t="inlineStr">
        <is>
          <t>adc_inst_LI_ADC_EN</t>
        </is>
      </c>
      <c r="M13" t="inlineStr">
        <is>
          <t>0x00</t>
        </is>
      </c>
    </row>
    <row r="14">
      <c r="A14" s="28" t="n">
        <v>12</v>
      </c>
      <c r="B14" s="28">
        <f>CONCATENATE("0x",DEC2HEX(A14,4))</f>
        <v/>
      </c>
      <c r="C14" s="28" t="inlineStr">
        <is>
          <t>OSC32M_WADDR_0</t>
        </is>
      </c>
      <c r="D14" s="28" t="inlineStr">
        <is>
          <t>OSC32M_Byte_0</t>
        </is>
      </c>
      <c r="E14" s="33" t="n"/>
      <c r="F14" s="33" t="n"/>
      <c r="G14" s="35" t="inlineStr">
        <is>
          <t>osc32m_inst_CTUNE[0x1E]</t>
        </is>
      </c>
      <c r="H14" s="136" t="n"/>
      <c r="I14" s="136" t="n"/>
      <c r="J14" s="136" t="n"/>
      <c r="K14" s="136" t="n"/>
      <c r="L14" s="137" t="n"/>
      <c r="M14" t="inlineStr">
        <is>
          <t>0x1E</t>
        </is>
      </c>
    </row>
    <row r="15">
      <c r="A15" s="28" t="n">
        <v>13</v>
      </c>
      <c r="B15" s="28">
        <f>CONCATENATE("0x",DEC2HEX(A15,4))</f>
        <v/>
      </c>
      <c r="C15" s="133" t="n"/>
      <c r="D15" s="28" t="inlineStr">
        <is>
          <t>OSC32M_Byte_1</t>
        </is>
      </c>
      <c r="E15" s="33" t="n"/>
      <c r="F15" s="33" t="n"/>
      <c r="G15" s="33" t="n"/>
      <c r="H15" s="35" t="inlineStr">
        <is>
          <t>osc32m_inst_FTUNE[0x10]</t>
        </is>
      </c>
      <c r="I15" s="136" t="n"/>
      <c r="J15" s="136" t="n"/>
      <c r="K15" s="136" t="n"/>
      <c r="L15" s="137" t="n"/>
      <c r="M15" t="inlineStr">
        <is>
          <t>0x10</t>
        </is>
      </c>
    </row>
    <row r="16">
      <c r="A16" s="28" t="n">
        <v>14</v>
      </c>
      <c r="B16" s="28">
        <f>CONCATENATE("0x",DEC2HEX(A16,4))</f>
        <v/>
      </c>
      <c r="C16" s="133" t="n"/>
      <c r="D16" s="28" t="inlineStr">
        <is>
          <t>OSC32M_Byte_2</t>
        </is>
      </c>
      <c r="E16" s="33" t="n"/>
      <c r="F16" s="33" t="n"/>
      <c r="G16" s="33" t="n"/>
      <c r="H16" s="33" t="n"/>
      <c r="I16" s="33" t="n"/>
      <c r="J16" s="33" t="n"/>
      <c r="K16" s="35" t="inlineStr">
        <is>
          <t>osc32m_inst_REG_IOP_SEL[0x2]</t>
        </is>
      </c>
      <c r="L16" s="137" t="n"/>
      <c r="M16" t="inlineStr">
        <is>
          <t>0x02</t>
        </is>
      </c>
    </row>
    <row r="17">
      <c r="A17" s="28" t="n">
        <v>15</v>
      </c>
      <c r="B17" s="28">
        <f>CONCATENATE("0x",DEC2HEX(A17,4))</f>
        <v/>
      </c>
      <c r="C17" s="134" t="n"/>
      <c r="D17" s="28" t="inlineStr">
        <is>
          <t>OSC32M_Byte_3</t>
        </is>
      </c>
      <c r="E17" s="33" t="n"/>
      <c r="F17" s="33" t="n"/>
      <c r="G17" s="33" t="n"/>
      <c r="H17" s="33" t="n"/>
      <c r="I17" s="33" t="n"/>
      <c r="J17" s="35" t="inlineStr">
        <is>
          <t>osc32m_inst_Temp[0x3]</t>
        </is>
      </c>
      <c r="K17" s="136" t="n"/>
      <c r="L17" s="137" t="n"/>
      <c r="M17" t="inlineStr">
        <is>
          <t>0x03</t>
        </is>
      </c>
    </row>
    <row r="18">
      <c r="A18" s="28" t="n">
        <v>16</v>
      </c>
      <c r="B18" s="28">
        <f>CONCATENATE("0x",DEC2HEX(A18,4))</f>
        <v/>
      </c>
      <c r="C18" s="28" t="inlineStr">
        <is>
          <t>OSC32M_WADDR_1</t>
        </is>
      </c>
      <c r="D18" s="28" t="inlineStr">
        <is>
          <t>OSC32M_Byte_4</t>
        </is>
      </c>
      <c r="E18" s="33" t="n"/>
      <c r="F18" s="33" t="n"/>
      <c r="G18" s="33" t="n"/>
      <c r="H18" s="33" t="n"/>
      <c r="I18" s="35" t="inlineStr">
        <is>
          <t>osc32m_inst_HRC_OK_MUX[0x1]</t>
        </is>
      </c>
      <c r="J18" s="136" t="n"/>
      <c r="K18" s="136" t="n"/>
      <c r="L18" s="137" t="n"/>
      <c r="M18" t="inlineStr">
        <is>
          <t>0x01</t>
        </is>
      </c>
    </row>
    <row r="19">
      <c r="A19" s="28" t="n">
        <v>17</v>
      </c>
      <c r="B19" s="28">
        <f>CONCATENATE("0x",DEC2HEX(A19,4))</f>
        <v/>
      </c>
      <c r="C19" s="133" t="n"/>
      <c r="D19" s="28" t="inlineStr">
        <is>
          <t>OSC32M_Byte_5</t>
        </is>
      </c>
      <c r="E19" s="33" t="n"/>
      <c r="F19" s="33" t="n"/>
      <c r="G19" s="33" t="n"/>
      <c r="H19" s="33" t="n"/>
      <c r="I19" s="138" t="inlineStr">
        <is>
          <t>osc32m_div_half_period</t>
        </is>
      </c>
      <c r="J19" s="136" t="n"/>
      <c r="K19" s="136" t="n"/>
      <c r="L19" s="139" t="n"/>
      <c r="M19" t="inlineStr">
        <is>
          <t>0x00</t>
        </is>
      </c>
    </row>
    <row r="20">
      <c r="A20" s="28" t="n">
        <v>18</v>
      </c>
      <c r="B20" s="28">
        <f>CONCATENATE("0x",DEC2HEX(A20,4))</f>
        <v/>
      </c>
      <c r="C20" s="133" t="n"/>
      <c r="D20" s="28" t="inlineStr">
        <is>
          <t>OSC32M_Byte_6</t>
        </is>
      </c>
      <c r="E20" s="33" t="n"/>
      <c r="F20" s="33" t="n"/>
      <c r="G20" s="33" t="n"/>
      <c r="H20" s="33" t="n"/>
      <c r="I20" s="33" t="n"/>
      <c r="J20" s="33" t="n"/>
      <c r="K20" s="33" t="n"/>
      <c r="L20" s="35" t="inlineStr">
        <is>
          <t>osc32m_inst_HRC_OK_LV</t>
        </is>
      </c>
      <c r="M20" t="inlineStr">
        <is>
          <t>0x00</t>
        </is>
      </c>
    </row>
    <row r="21">
      <c r="A21" s="28" t="n">
        <v>19</v>
      </c>
      <c r="B21" s="28">
        <f>CONCATENATE("0x",DEC2HEX(A21,4))</f>
        <v/>
      </c>
      <c r="C21" s="134" t="n"/>
      <c r="D21" s="28" t="inlineStr">
        <is>
          <t>OSC32M_Byte_7</t>
        </is>
      </c>
      <c r="E21" s="41" t="n"/>
      <c r="F21" s="41" t="n"/>
      <c r="G21" s="41" t="n"/>
      <c r="H21" s="41" t="n"/>
      <c r="I21" s="41" t="n"/>
      <c r="J21" s="41" t="n"/>
      <c r="K21" s="41" t="n"/>
      <c r="L21" s="42" t="inlineStr">
        <is>
          <t>osc32m_inst_EN</t>
        </is>
      </c>
      <c r="M21" t="inlineStr">
        <is>
          <t>0x00</t>
        </is>
      </c>
    </row>
    <row r="22">
      <c r="A22" s="28" t="n">
        <v>20</v>
      </c>
      <c r="B22" s="28">
        <f>CONCATENATE("0x",DEC2HEX(A22,4))</f>
        <v/>
      </c>
      <c r="C22" s="28" t="inlineStr">
        <is>
          <t>OSC32K_WADDR</t>
        </is>
      </c>
      <c r="D22" s="28" t="inlineStr">
        <is>
          <t>OSC32K_Byte_0</t>
        </is>
      </c>
      <c r="E22" s="28" t="inlineStr">
        <is>
          <t>osc32k_inst_P_FT[0x54]</t>
        </is>
      </c>
      <c r="F22" s="135" t="n"/>
      <c r="G22" s="135" t="n"/>
      <c r="H22" s="135" t="n"/>
      <c r="I22" s="135" t="n"/>
      <c r="J22" s="135" t="n"/>
      <c r="K22" s="135" t="n"/>
      <c r="L22" s="132" t="n"/>
      <c r="M22" t="inlineStr">
        <is>
          <t>0x54</t>
        </is>
      </c>
    </row>
    <row r="23">
      <c r="A23" s="28" t="n">
        <v>21</v>
      </c>
      <c r="B23" s="28">
        <f>CONCATENATE("0x",DEC2HEX(A23,4))</f>
        <v/>
      </c>
      <c r="C23" s="133" t="n"/>
      <c r="D23" s="28" t="inlineStr">
        <is>
          <t>OSC32K_Byte_1</t>
        </is>
      </c>
      <c r="E23" s="33" t="n"/>
      <c r="F23" s="33" t="n"/>
      <c r="G23" s="33" t="n"/>
      <c r="H23" s="28" t="inlineStr">
        <is>
          <t>osc32k_inst_S_FT[0x1C]</t>
        </is>
      </c>
      <c r="I23" s="135" t="n"/>
      <c r="J23" s="135" t="n"/>
      <c r="K23" s="135" t="n"/>
      <c r="L23" s="132" t="n"/>
      <c r="M23" t="inlineStr">
        <is>
          <t>0x1C</t>
        </is>
      </c>
    </row>
    <row r="24">
      <c r="A24" s="28" t="n">
        <v>22</v>
      </c>
      <c r="B24" s="28">
        <f>CONCATENATE("0x",DEC2HEX(A24,4))</f>
        <v/>
      </c>
      <c r="C24" s="133" t="n"/>
      <c r="D24" s="28" t="inlineStr">
        <is>
          <t>OSC32K_Byte_2</t>
        </is>
      </c>
      <c r="E24" s="33" t="n"/>
      <c r="F24" s="33" t="n"/>
      <c r="G24" s="33" t="n"/>
      <c r="H24" s="33" t="n"/>
      <c r="I24" s="33" t="n"/>
      <c r="J24" s="33" t="n"/>
      <c r="K24" s="33" t="n"/>
      <c r="L24" s="28" t="inlineStr">
        <is>
          <t>osc32k_inst_LI_EN</t>
        </is>
      </c>
      <c r="M24" t="inlineStr">
        <is>
          <t>0x00</t>
        </is>
      </c>
    </row>
    <row r="25">
      <c r="A25" s="28" t="n">
        <v>23</v>
      </c>
      <c r="B25" s="28">
        <f>CONCATENATE("0x",DEC2HEX(A25,4))</f>
        <v/>
      </c>
      <c r="C25" s="134" t="n"/>
      <c r="D25" s="28" t="inlineStr">
        <is>
          <t>OSC32K_Byte_3</t>
        </is>
      </c>
      <c r="E25" s="33" t="n"/>
      <c r="F25" s="33" t="n"/>
      <c r="G25" s="33" t="n"/>
      <c r="H25" s="33" t="n"/>
      <c r="I25" s="33" t="n"/>
      <c r="J25" s="33" t="n"/>
      <c r="K25" s="33" t="n"/>
      <c r="L25" s="28" t="inlineStr">
        <is>
          <t>osc32k_inst_CLKREADY</t>
        </is>
      </c>
      <c r="M25" t="inlineStr">
        <is>
          <t>0x00</t>
        </is>
      </c>
    </row>
    <row r="26">
      <c r="A26" s="28" t="n">
        <v>24</v>
      </c>
      <c r="B26" s="28">
        <f>CONCATENATE("0x",DEC2HEX(A26,4))</f>
        <v/>
      </c>
      <c r="C26" s="28" t="inlineStr">
        <is>
          <t>PLL_WADDR_0</t>
        </is>
      </c>
      <c r="D26" s="28" t="inlineStr">
        <is>
          <t>PLL_Byte_0</t>
        </is>
      </c>
      <c r="E26" s="43" t="n"/>
      <c r="F26" s="43" t="n"/>
      <c r="G26" s="43" t="n"/>
      <c r="H26" s="44" t="inlineStr">
        <is>
          <t>pll_inst_reg1[0x1f]</t>
        </is>
      </c>
      <c r="I26" s="140" t="n"/>
      <c r="J26" s="140" t="n"/>
      <c r="K26" s="140" t="n"/>
      <c r="L26" s="141" t="n"/>
      <c r="M26" t="inlineStr">
        <is>
          <t>0x1F</t>
        </is>
      </c>
    </row>
    <row r="27">
      <c r="A27" s="28" t="n">
        <v>25</v>
      </c>
      <c r="B27" s="28">
        <f>CONCATENATE("0x",DEC2HEX(A27,4))</f>
        <v/>
      </c>
      <c r="C27" s="133" t="n"/>
      <c r="D27" s="28" t="inlineStr">
        <is>
          <t>PLL_Byte_1</t>
        </is>
      </c>
      <c r="E27" s="33" t="n"/>
      <c r="F27" s="33" t="n"/>
      <c r="G27" s="33" t="n"/>
      <c r="H27" s="35" t="inlineStr">
        <is>
          <t>pll_inst_reg2[0x1f]</t>
        </is>
      </c>
      <c r="I27" s="136" t="n"/>
      <c r="J27" s="136" t="n"/>
      <c r="K27" s="136" t="n"/>
      <c r="L27" s="137" t="n"/>
      <c r="M27" t="inlineStr">
        <is>
          <t>0x1F</t>
        </is>
      </c>
    </row>
    <row r="28">
      <c r="A28" s="28" t="n">
        <v>26</v>
      </c>
      <c r="B28" s="28">
        <f>CONCATENATE("0x",DEC2HEX(A28,4))</f>
        <v/>
      </c>
      <c r="C28" s="133" t="n"/>
      <c r="D28" s="28" t="inlineStr">
        <is>
          <t>PLL_Byte_2</t>
        </is>
      </c>
      <c r="E28" s="33" t="n"/>
      <c r="F28" s="33" t="n"/>
      <c r="G28" s="33" t="n"/>
      <c r="H28" s="28" t="inlineStr">
        <is>
          <t>pll_inst_fb_sel</t>
        </is>
      </c>
      <c r="I28" s="33" t="n"/>
      <c r="J28" s="35" t="inlineStr">
        <is>
          <t>pll_inst_reg3[0x4]</t>
        </is>
      </c>
      <c r="K28" s="136" t="n"/>
      <c r="L28" s="137" t="n"/>
      <c r="M28" t="inlineStr">
        <is>
          <t>0x04</t>
        </is>
      </c>
    </row>
    <row r="29">
      <c r="A29" s="28" t="n">
        <v>27</v>
      </c>
      <c r="B29" s="28">
        <f>CONCATENATE("0x",DEC2HEX(A29,4))</f>
        <v/>
      </c>
      <c r="C29" s="134" t="n"/>
      <c r="D29" s="28" t="inlineStr">
        <is>
          <t>PLL_Byte_3</t>
        </is>
      </c>
      <c r="E29" s="33" t="n"/>
      <c r="F29" s="33" t="n"/>
      <c r="G29" s="33" t="n"/>
      <c r="H29" s="33" t="n"/>
      <c r="I29" s="33" t="n"/>
      <c r="J29" s="35" t="inlineStr">
        <is>
          <t>pll_inst_reg4[0x4]</t>
        </is>
      </c>
      <c r="K29" s="136" t="n"/>
      <c r="L29" s="137" t="n"/>
      <c r="M29" t="inlineStr">
        <is>
          <t>0x04</t>
        </is>
      </c>
    </row>
    <row r="30">
      <c r="A30" s="28" t="n">
        <v>28</v>
      </c>
      <c r="B30" s="28">
        <f>CONCATENATE("0x",DEC2HEX(A30,4))</f>
        <v/>
      </c>
      <c r="C30" s="28" t="inlineStr">
        <is>
          <t>PLL_WADDR_1</t>
        </is>
      </c>
      <c r="D30" s="28" t="inlineStr">
        <is>
          <t>PLL_Byte_4</t>
        </is>
      </c>
      <c r="E30" s="35" t="inlineStr">
        <is>
          <t>pll_inst_reg_ldo[0x3]</t>
        </is>
      </c>
      <c r="F30" s="136" t="n"/>
      <c r="G30" s="136" t="n"/>
      <c r="H30" s="136" t="n"/>
      <c r="I30" s="136" t="n"/>
      <c r="J30" s="136" t="n"/>
      <c r="K30" s="136" t="n"/>
      <c r="L30" s="137" t="n"/>
      <c r="M30" t="inlineStr">
        <is>
          <t>0x03</t>
        </is>
      </c>
    </row>
    <row r="31">
      <c r="A31" s="28" t="n">
        <v>29</v>
      </c>
      <c r="B31" s="28">
        <f>CONCATENATE("0x",DEC2HEX(A31,4))</f>
        <v/>
      </c>
      <c r="C31" s="133" t="n"/>
      <c r="D31" s="28" t="inlineStr">
        <is>
          <t>PLL_Byte_5</t>
        </is>
      </c>
      <c r="E31" s="35" t="n"/>
      <c r="F31" s="35" t="n"/>
      <c r="G31" s="35" t="inlineStr">
        <is>
          <t>pll_inst_extclk_sel</t>
        </is>
      </c>
      <c r="H31" s="35" t="inlineStr">
        <is>
          <t>pll_inst_pfd_dly_tune</t>
        </is>
      </c>
      <c r="I31" s="35" t="inlineStr">
        <is>
          <t>pll_inst_icp_sel</t>
        </is>
      </c>
      <c r="J31" s="35" t="inlineStr">
        <is>
          <t>pll_inst_cap_sel[0x1]</t>
        </is>
      </c>
      <c r="K31" s="35" t="inlineStr">
        <is>
          <t>pll_inst_cp2_en[0x1]</t>
        </is>
      </c>
      <c r="L31" s="35" t="inlineStr">
        <is>
          <t>pll_inst_filt_byp</t>
        </is>
      </c>
      <c r="M31" t="inlineStr">
        <is>
          <t>0x06</t>
        </is>
      </c>
    </row>
    <row r="32">
      <c r="A32" s="28" t="n">
        <v>30</v>
      </c>
      <c r="B32" s="28">
        <f>CONCATENATE("0x",DEC2HEX(A32,4))</f>
        <v/>
      </c>
      <c r="C32" s="133" t="n"/>
      <c r="D32" s="28" t="inlineStr">
        <is>
          <t>PLL_Byte_6</t>
        </is>
      </c>
      <c r="E32" s="28" t="inlineStr">
        <is>
          <t>pll_inst_digsmode[0x1]</t>
        </is>
      </c>
      <c r="F32" s="35" t="inlineStr">
        <is>
          <t>pll_inst_ref_div[0x5]</t>
        </is>
      </c>
      <c r="G32" s="136" t="n"/>
      <c r="H32" s="137" t="n"/>
      <c r="I32" s="35" t="inlineStr">
        <is>
          <t>pll_inst_lock_sel</t>
        </is>
      </c>
      <c r="J32" s="137" t="n"/>
      <c r="K32" s="35" t="inlineStr">
        <is>
          <t>pll_inst_clkout_div[0x1]</t>
        </is>
      </c>
      <c r="L32" s="137" t="n"/>
      <c r="M32" t="inlineStr">
        <is>
          <t>0xD1</t>
        </is>
      </c>
    </row>
    <row r="33">
      <c r="A33" s="28" t="n">
        <v>31</v>
      </c>
      <c r="B33" s="28">
        <f>CONCATENATE("0x",DEC2HEX(A33,4))</f>
        <v/>
      </c>
      <c r="C33" s="134" t="n"/>
      <c r="D33" s="47" t="inlineStr">
        <is>
          <t>PLL_Byte_7</t>
        </is>
      </c>
      <c r="E33" s="142" t="inlineStr">
        <is>
          <t>pll_inst_atb_sel</t>
        </is>
      </c>
      <c r="F33" s="143" t="n"/>
      <c r="G33" s="42" t="inlineStr">
        <is>
          <t>pll_inst_fb_prediv</t>
        </is>
      </c>
      <c r="H33" s="144" t="n"/>
      <c r="I33" s="47" t="inlineStr">
        <is>
          <t>pll_inst_test_en</t>
        </is>
      </c>
      <c r="J33" s="47" t="inlineStr">
        <is>
          <t>pll_inst_byp_en</t>
        </is>
      </c>
      <c r="K33" s="42" t="inlineStr">
        <is>
          <t>pll_inst_nrst[0x1]</t>
        </is>
      </c>
      <c r="L33" s="42" t="inlineStr">
        <is>
          <t>pll_inst_EN_PLL</t>
        </is>
      </c>
      <c r="M33" t="inlineStr">
        <is>
          <t>0x02</t>
        </is>
      </c>
    </row>
    <row r="34">
      <c r="A34" s="28" t="n">
        <v>32</v>
      </c>
      <c r="B34" s="28">
        <f>CONCATENATE("0x",DEC2HEX(A34,4))</f>
        <v/>
      </c>
      <c r="C34" s="28" t="inlineStr">
        <is>
          <t>PLL_WADDR_2</t>
        </is>
      </c>
      <c r="D34" s="28" t="inlineStr">
        <is>
          <t>PLL_Byte_8</t>
        </is>
      </c>
      <c r="E34" s="28" t="inlineStr">
        <is>
          <t>pll_inst_kin_0</t>
        </is>
      </c>
      <c r="F34" s="135" t="n"/>
      <c r="G34" s="135" t="n"/>
      <c r="H34" s="135" t="n"/>
      <c r="I34" s="135" t="n"/>
      <c r="J34" s="135" t="n"/>
      <c r="K34" s="135" t="n"/>
      <c r="L34" s="132" t="n"/>
      <c r="M34" t="inlineStr">
        <is>
          <t>0x00</t>
        </is>
      </c>
    </row>
    <row r="35">
      <c r="A35" s="28" t="n">
        <v>33</v>
      </c>
      <c r="B35" s="28">
        <f>CONCATENATE("0x",DEC2HEX(A35,4))</f>
        <v/>
      </c>
      <c r="C35" s="133" t="n"/>
      <c r="D35" s="28" t="inlineStr">
        <is>
          <t>PLL_Byte_9</t>
        </is>
      </c>
      <c r="E35" s="28" t="inlineStr">
        <is>
          <t>pll_inst_kin_1</t>
        </is>
      </c>
      <c r="F35" s="135" t="n"/>
      <c r="G35" s="135" t="n"/>
      <c r="H35" s="135" t="n"/>
      <c r="I35" s="135" t="n"/>
      <c r="J35" s="135" t="n"/>
      <c r="K35" s="135" t="n"/>
      <c r="L35" s="132" t="n"/>
      <c r="M35" t="inlineStr">
        <is>
          <t>0x00</t>
        </is>
      </c>
    </row>
    <row r="36">
      <c r="A36" s="28" t="n">
        <v>34</v>
      </c>
      <c r="B36" s="28">
        <f>CONCATENATE("0x",DEC2HEX(A36,4))</f>
        <v/>
      </c>
      <c r="C36" s="133" t="n"/>
      <c r="D36" s="28" t="inlineStr">
        <is>
          <t>PLL_Byte_10</t>
        </is>
      </c>
      <c r="E36" s="58" t="n"/>
      <c r="F36" s="58" t="n"/>
      <c r="G36" s="58" t="n"/>
      <c r="H36" s="28" t="inlineStr">
        <is>
          <t>pll_inst_kin_2</t>
        </is>
      </c>
      <c r="I36" s="135" t="n"/>
      <c r="J36" s="135" t="n"/>
      <c r="K36" s="135" t="n"/>
      <c r="L36" s="132" t="n"/>
      <c r="M36" t="inlineStr">
        <is>
          <t>0x00</t>
        </is>
      </c>
    </row>
    <row r="37">
      <c r="A37" s="28" t="n">
        <v>35</v>
      </c>
      <c r="B37" s="28">
        <f>CONCATENATE("0x",DEC2HEX(A37,4))</f>
        <v/>
      </c>
      <c r="C37" s="134" t="n"/>
      <c r="D37" s="28" t="inlineStr">
        <is>
          <t>PLL_Byte_11</t>
        </is>
      </c>
      <c r="E37" s="33" t="n"/>
      <c r="F37" s="28" t="inlineStr">
        <is>
          <t>pll_inst_min</t>
        </is>
      </c>
      <c r="G37" s="135" t="n"/>
      <c r="H37" s="135" t="n"/>
      <c r="I37" s="135" t="n"/>
      <c r="J37" s="135" t="n"/>
      <c r="K37" s="135" t="n"/>
      <c r="L37" s="132" t="n"/>
      <c r="M37" t="inlineStr">
        <is>
          <t>0x00</t>
        </is>
      </c>
    </row>
    <row r="38">
      <c r="A38" s="28" t="n">
        <v>36</v>
      </c>
      <c r="B38" s="28">
        <f>CONCATENATE("0x",DEC2HEX(A38,4))</f>
        <v/>
      </c>
      <c r="C38" s="28" t="inlineStr">
        <is>
          <t>PLL_WADDR_3</t>
        </is>
      </c>
      <c r="D38" s="28" t="inlineStr">
        <is>
          <t>PLL_Byte_12</t>
        </is>
      </c>
      <c r="E38" s="28" t="inlineStr">
        <is>
          <t>pll_inst_dkin_0</t>
        </is>
      </c>
      <c r="F38" s="135" t="n"/>
      <c r="G38" s="135" t="n"/>
      <c r="H38" s="135" t="n"/>
      <c r="I38" s="135" t="n"/>
      <c r="J38" s="135" t="n"/>
      <c r="K38" s="135" t="n"/>
      <c r="L38" s="132" t="n"/>
      <c r="M38" t="inlineStr">
        <is>
          <t>0x00</t>
        </is>
      </c>
    </row>
    <row r="39">
      <c r="A39" s="28" t="n">
        <v>37</v>
      </c>
      <c r="B39" s="28">
        <f>CONCATENATE("0x",DEC2HEX(A39,4))</f>
        <v/>
      </c>
      <c r="C39" s="133" t="n"/>
      <c r="D39" s="28" t="inlineStr">
        <is>
          <t>PLL_Byte_13</t>
        </is>
      </c>
      <c r="E39" s="28" t="inlineStr">
        <is>
          <t>pll_inst_dkin_1</t>
        </is>
      </c>
      <c r="F39" s="135" t="n"/>
      <c r="G39" s="135" t="n"/>
      <c r="H39" s="135" t="n"/>
      <c r="I39" s="135" t="n"/>
      <c r="J39" s="135" t="n"/>
      <c r="K39" s="135" t="n"/>
      <c r="L39" s="132" t="n"/>
      <c r="M39" t="inlineStr">
        <is>
          <t>0x00</t>
        </is>
      </c>
    </row>
    <row r="40">
      <c r="A40" s="28" t="n">
        <v>38</v>
      </c>
      <c r="B40" s="28">
        <f>CONCATENATE("0x",DEC2HEX(A40,4))</f>
        <v/>
      </c>
      <c r="C40" s="133" t="n"/>
      <c r="D40" s="28" t="inlineStr">
        <is>
          <t>PLL_Byte_14</t>
        </is>
      </c>
      <c r="E40" s="58" t="n"/>
      <c r="F40" s="58" t="n"/>
      <c r="G40" s="58" t="n"/>
      <c r="H40" s="58" t="n"/>
      <c r="I40" s="58" t="n"/>
      <c r="J40" s="28" t="inlineStr">
        <is>
          <t>pll_inst_dkin_2</t>
        </is>
      </c>
      <c r="K40" s="135" t="n"/>
      <c r="L40" s="132" t="n"/>
      <c r="M40" t="inlineStr">
        <is>
          <t>0x00</t>
        </is>
      </c>
    </row>
    <row r="41">
      <c r="A41" s="28" t="n">
        <v>39</v>
      </c>
      <c r="B41" s="28">
        <f>CONCATENATE("0x",DEC2HEX(A41,4))</f>
        <v/>
      </c>
      <c r="C41" s="134" t="n"/>
      <c r="D41" s="47" t="inlineStr">
        <is>
          <t>PLL_Byte_15</t>
        </is>
      </c>
      <c r="E41" s="28" t="inlineStr">
        <is>
          <t>pll_inst_upcntin_0</t>
        </is>
      </c>
      <c r="F41" s="135" t="n"/>
      <c r="G41" s="135" t="n"/>
      <c r="H41" s="135" t="n"/>
      <c r="I41" s="135" t="n"/>
      <c r="J41" s="135" t="n"/>
      <c r="K41" s="135" t="n"/>
      <c r="L41" s="132" t="n"/>
      <c r="M41" t="inlineStr">
        <is>
          <t>0x00</t>
        </is>
      </c>
    </row>
    <row r="42">
      <c r="A42" s="28" t="n">
        <v>40</v>
      </c>
      <c r="B42" s="28">
        <f>CONCATENATE("0x",DEC2HEX(A42,4))</f>
        <v/>
      </c>
      <c r="C42" s="28" t="inlineStr">
        <is>
          <t>PLL_WADDR_4</t>
        </is>
      </c>
      <c r="D42" s="28" t="inlineStr">
        <is>
          <t>PLL_Byte_16</t>
        </is>
      </c>
      <c r="E42" s="58" t="n"/>
      <c r="F42" s="58" t="n"/>
      <c r="G42" s="58" t="n"/>
      <c r="H42" s="58" t="n"/>
      <c r="I42" s="51" t="n"/>
      <c r="J42" s="51" t="n"/>
      <c r="K42" s="28" t="inlineStr">
        <is>
          <t>pll_inst_upcntin_1</t>
        </is>
      </c>
      <c r="L42" s="132" t="n"/>
      <c r="M42" t="inlineStr">
        <is>
          <t>0x00</t>
        </is>
      </c>
    </row>
    <row r="43">
      <c r="A43" s="28" t="n">
        <v>41</v>
      </c>
      <c r="B43" s="28">
        <f>CONCATENATE("0x",DEC2HEX(A43,4))</f>
        <v/>
      </c>
      <c r="C43" s="133" t="n"/>
      <c r="D43" s="28" t="inlineStr">
        <is>
          <t>PLL_Byte_17</t>
        </is>
      </c>
      <c r="E43" s="138" t="inlineStr">
        <is>
          <t>pll_div_half_period</t>
        </is>
      </c>
      <c r="F43" s="136" t="n"/>
      <c r="G43" s="136" t="n"/>
      <c r="H43" s="139" t="n"/>
      <c r="I43" s="35" t="inlineStr">
        <is>
          <t>pll_inst_nrstds</t>
        </is>
      </c>
      <c r="J43" s="35" t="inlineStr">
        <is>
          <t>pll_inst_ssc_byp[0x1]</t>
        </is>
      </c>
      <c r="K43" s="35" t="inlineStr">
        <is>
          <t>pll_inst_ssc_nrst</t>
        </is>
      </c>
      <c r="L43" s="35" t="inlineStr">
        <is>
          <t>pll_inst_ssc_en</t>
        </is>
      </c>
      <c r="M43" t="inlineStr">
        <is>
          <t>0x04</t>
        </is>
      </c>
    </row>
    <row r="44">
      <c r="A44" s="28" t="n">
        <v>42</v>
      </c>
      <c r="B44" s="28">
        <f>CONCATENATE("0x",DEC2HEX(A44,4))</f>
        <v/>
      </c>
      <c r="C44" s="133" t="n"/>
      <c r="D44" s="28" t="inlineStr">
        <is>
          <t>PLL_Byte_18</t>
        </is>
      </c>
      <c r="E44" s="58" t="n"/>
      <c r="F44" s="35" t="inlineStr">
        <is>
          <t>pll_inst_divn</t>
        </is>
      </c>
      <c r="G44" s="136" t="n"/>
      <c r="H44" s="136" t="n"/>
      <c r="I44" s="136" t="n"/>
      <c r="J44" s="136" t="n"/>
      <c r="K44" s="136" t="n"/>
      <c r="L44" s="137" t="n"/>
      <c r="M44" t="inlineStr">
        <is>
          <t>0x00</t>
        </is>
      </c>
    </row>
    <row r="45">
      <c r="A45" s="28" t="n">
        <v>43</v>
      </c>
      <c r="B45" s="28">
        <f>CONCATENATE("0x",DEC2HEX(A45,4))</f>
        <v/>
      </c>
      <c r="C45" s="134" t="n"/>
      <c r="D45" s="28" t="inlineStr">
        <is>
          <t>PLL_Byte_19</t>
        </is>
      </c>
      <c r="E45" s="58" t="n"/>
      <c r="F45" s="58" t="n"/>
      <c r="G45" s="58" t="n"/>
      <c r="H45" s="53" t="n"/>
      <c r="I45" s="58" t="n"/>
      <c r="J45" s="58" t="n"/>
      <c r="K45" s="58" t="n"/>
      <c r="L45" s="30" t="inlineStr">
        <is>
          <t>pll_inst_pll_lock</t>
        </is>
      </c>
      <c r="M45" t="inlineStr">
        <is>
          <t>0x00</t>
        </is>
      </c>
    </row>
    <row r="46">
      <c r="A46" s="28" t="n">
        <v>44</v>
      </c>
      <c r="B46" s="28">
        <f>CONCATENATE("0x",DEC2HEX(A46,4))</f>
        <v/>
      </c>
      <c r="C46" s="54" t="inlineStr">
        <is>
          <t>PMU_WADDR_0</t>
        </is>
      </c>
      <c r="D46" s="54" t="inlineStr">
        <is>
          <t>PMU_Byte_0</t>
        </is>
      </c>
      <c r="E46" s="44" t="inlineStr">
        <is>
          <t>pmu_inst_reg_lvd_eflash_lv</t>
        </is>
      </c>
      <c r="F46" s="140" t="n"/>
      <c r="G46" s="140" t="n"/>
      <c r="H46" s="141" t="n"/>
      <c r="I46" s="33" t="n"/>
      <c r="J46" s="33" t="n"/>
      <c r="K46" s="33" t="n"/>
      <c r="L46" s="28" t="inlineStr">
        <is>
          <t>pmu_inst_lvd_eflash_en_lv</t>
        </is>
      </c>
      <c r="M46" t="inlineStr">
        <is>
          <t>0x00</t>
        </is>
      </c>
    </row>
    <row r="47">
      <c r="A47" s="28" t="n">
        <v>45</v>
      </c>
      <c r="B47" s="28">
        <f>CONCATENATE("0x",DEC2HEX(A47,4))</f>
        <v/>
      </c>
      <c r="C47" s="133" t="n"/>
      <c r="D47" s="28" t="inlineStr">
        <is>
          <t>PMU_Byte_1</t>
        </is>
      </c>
      <c r="E47" s="33" t="n"/>
      <c r="F47" s="33" t="n"/>
      <c r="G47" s="33" t="n"/>
      <c r="H47" s="33" t="n"/>
      <c r="I47" s="43" t="n"/>
      <c r="J47" s="43" t="n"/>
      <c r="K47" s="43" t="n"/>
      <c r="L47" s="44" t="inlineStr">
        <is>
          <t>pmu_inst_rstn_lvd_flash_lv</t>
        </is>
      </c>
      <c r="M47" t="inlineStr">
        <is>
          <t>0x00</t>
        </is>
      </c>
    </row>
    <row r="48">
      <c r="A48" s="28" t="n">
        <v>46</v>
      </c>
      <c r="B48" s="28">
        <f>CONCATENATE("0x",DEC2HEX(A48,4))</f>
        <v/>
      </c>
      <c r="C48" s="133" t="n"/>
      <c r="D48" s="28" t="inlineStr">
        <is>
          <t>PMU_Byte_2</t>
        </is>
      </c>
      <c r="E48" s="35" t="inlineStr">
        <is>
          <t>pmu_inst_reg_pvd_lv</t>
        </is>
      </c>
      <c r="F48" s="136" t="n"/>
      <c r="G48" s="136" t="n"/>
      <c r="H48" s="137" t="n"/>
      <c r="I48" s="33" t="n"/>
      <c r="J48" s="33" t="n"/>
      <c r="K48" s="33" t="n"/>
      <c r="L48" s="35" t="inlineStr">
        <is>
          <t>pmu_inst_pvd_en_lv</t>
        </is>
      </c>
      <c r="M48" t="inlineStr">
        <is>
          <t>0x00</t>
        </is>
      </c>
    </row>
    <row r="49">
      <c r="A49" s="28" t="n">
        <v>47</v>
      </c>
      <c r="B49" s="28">
        <f>CONCATENATE("0x",DEC2HEX(A49,4))</f>
        <v/>
      </c>
      <c r="C49" s="134" t="n"/>
      <c r="D49" s="28" t="inlineStr">
        <is>
          <t>PMU_Byte_3</t>
        </is>
      </c>
      <c r="E49" s="33" t="n"/>
      <c r="F49" s="33" t="n"/>
      <c r="G49" s="33" t="n"/>
      <c r="H49" s="33" t="n"/>
      <c r="I49" s="33" t="n"/>
      <c r="J49" s="33" t="n"/>
      <c r="K49" s="33" t="n"/>
      <c r="L49" s="35" t="inlineStr">
        <is>
          <t>pmu_inst_rstn_pvd_lv</t>
        </is>
      </c>
      <c r="M49" t="inlineStr">
        <is>
          <t>0x00</t>
        </is>
      </c>
    </row>
    <row r="50">
      <c r="A50" s="28" t="n">
        <v>48</v>
      </c>
      <c r="B50" s="28">
        <f>CONCATENATE("0x",DEC2HEX(A50,4))</f>
        <v/>
      </c>
      <c r="C50" s="28" t="inlineStr">
        <is>
          <t>PMU_WADDR_1</t>
        </is>
      </c>
      <c r="D50" s="28" t="inlineStr">
        <is>
          <t>PMU_Byte_4</t>
        </is>
      </c>
      <c r="E50" s="33" t="n"/>
      <c r="F50" s="35" t="inlineStr">
        <is>
          <t>pmu_inst_reg_buffer_en_lv[0x1]</t>
        </is>
      </c>
      <c r="G50" s="33" t="n"/>
      <c r="H50" s="33" t="n"/>
      <c r="I50" s="35" t="inlineStr">
        <is>
          <t>pmu_inst_reg_ocp_en_lv</t>
        </is>
      </c>
      <c r="J50" s="33" t="n"/>
      <c r="K50" s="35" t="inlineStr">
        <is>
          <t>pmu_inst_mldo_en_lv[0x1]</t>
        </is>
      </c>
      <c r="L50" s="35" t="n"/>
      <c r="M50" t="inlineStr">
        <is>
          <t>0x42</t>
        </is>
      </c>
    </row>
    <row r="51">
      <c r="A51" s="28" t="n">
        <v>49</v>
      </c>
      <c r="B51" s="28">
        <f>CONCATENATE("0x",DEC2HEX(A51,4))</f>
        <v/>
      </c>
      <c r="C51" s="133" t="n"/>
      <c r="D51" s="28" t="inlineStr">
        <is>
          <t>PMU_Byte_5</t>
        </is>
      </c>
      <c r="E51" s="33" t="n"/>
      <c r="F51" s="33" t="n"/>
      <c r="G51" s="35" t="inlineStr">
        <is>
          <t>pmu_inst_reg_lpbgp_lv</t>
        </is>
      </c>
      <c r="H51" s="136" t="n"/>
      <c r="I51" s="136" t="n"/>
      <c r="J51" s="136" t="n"/>
      <c r="K51" s="136" t="n"/>
      <c r="L51" s="137" t="n"/>
      <c r="M51" t="inlineStr">
        <is>
          <t>0x00</t>
        </is>
      </c>
    </row>
    <row r="52">
      <c r="A52" s="28" t="n">
        <v>50</v>
      </c>
      <c r="B52" s="28">
        <f>CONCATENATE("0x",DEC2HEX(A52,4))</f>
        <v/>
      </c>
      <c r="C52" s="133" t="n"/>
      <c r="D52" s="28" t="inlineStr">
        <is>
          <t>PMU_Byte_6</t>
        </is>
      </c>
      <c r="E52" s="33" t="n"/>
      <c r="F52" s="55" t="n"/>
      <c r="G52" s="33" t="n"/>
      <c r="H52" s="35" t="inlineStr">
        <is>
          <t>pmu_inst_reg_lpldo_lv</t>
        </is>
      </c>
      <c r="I52" s="136" t="n"/>
      <c r="J52" s="136" t="n"/>
      <c r="K52" s="136" t="n"/>
      <c r="L52" s="137" t="n"/>
      <c r="M52" t="inlineStr">
        <is>
          <t>0x00</t>
        </is>
      </c>
    </row>
    <row r="53">
      <c r="A53" s="28" t="n">
        <v>51</v>
      </c>
      <c r="B53" s="28">
        <f>CONCATENATE("0x",DEC2HEX(A53,4))</f>
        <v/>
      </c>
      <c r="C53" s="134" t="n"/>
      <c r="D53" s="28" t="inlineStr">
        <is>
          <t>PMU_Byte_7</t>
        </is>
      </c>
      <c r="E53" s="58" t="n"/>
      <c r="F53" s="55" t="n"/>
      <c r="G53" s="33" t="n"/>
      <c r="H53" s="35" t="inlineStr">
        <is>
          <t>pmu_inst_reg_mldo_lv</t>
        </is>
      </c>
      <c r="I53" s="136" t="n"/>
      <c r="J53" s="136" t="n"/>
      <c r="K53" s="136" t="n"/>
      <c r="L53" s="137" t="n"/>
      <c r="M53" t="inlineStr">
        <is>
          <t>0x00</t>
        </is>
      </c>
    </row>
    <row r="54">
      <c r="A54" s="28" t="n">
        <v>52</v>
      </c>
      <c r="B54" s="28">
        <f>CONCATENATE("0x",DEC2HEX(A54,4))</f>
        <v/>
      </c>
      <c r="C54" s="28" t="inlineStr">
        <is>
          <t>PMU_WADDR_2</t>
        </is>
      </c>
      <c r="D54" s="28" t="inlineStr">
        <is>
          <t>PMU_Byte_8</t>
        </is>
      </c>
      <c r="E54" s="58" t="n"/>
      <c r="F54" s="57" t="n"/>
      <c r="H54" s="145" t="n"/>
      <c r="I54" s="33" t="n"/>
      <c r="J54" s="33" t="n"/>
      <c r="K54" s="35" t="inlineStr">
        <is>
          <t>pmu_inst_V12AON_OK_LV</t>
        </is>
      </c>
      <c r="L54" s="35" t="inlineStr">
        <is>
          <t>pmu_inst_V12M_OK_LV</t>
        </is>
      </c>
      <c r="M54" t="inlineStr">
        <is>
          <t>0x00</t>
        </is>
      </c>
    </row>
    <row r="55">
      <c r="A55" s="28" t="n">
        <v>53</v>
      </c>
      <c r="B55" s="28">
        <f>CONCATENATE("0x",DEC2HEX(A55,4))</f>
        <v/>
      </c>
      <c r="C55" s="133" t="n"/>
      <c r="D55" s="28" t="inlineStr">
        <is>
          <t>PMU_Byte_9</t>
        </is>
      </c>
      <c r="E55" s="33" t="n"/>
      <c r="F55" s="55" t="n"/>
      <c r="G55" s="33" t="n"/>
      <c r="H55" s="35" t="n"/>
      <c r="I55" s="136" t="n"/>
      <c r="J55" s="136" t="n"/>
      <c r="K55" s="136" t="n"/>
      <c r="L55" s="137" t="n"/>
      <c r="M55" t="inlineStr">
        <is>
          <t>0x00</t>
        </is>
      </c>
    </row>
    <row r="56">
      <c r="A56" s="28" t="n">
        <v>54</v>
      </c>
      <c r="B56" s="28">
        <f>CONCATENATE("0x",DEC2HEX(A56,4))</f>
        <v/>
      </c>
      <c r="C56" s="133" t="n"/>
      <c r="D56" s="28" t="inlineStr">
        <is>
          <t>PMU_Byte_10</t>
        </is>
      </c>
      <c r="E56" s="33" t="n"/>
      <c r="F56" s="33" t="n"/>
      <c r="G56" s="33" t="n"/>
      <c r="H56" s="35" t="n"/>
      <c r="I56" s="136" t="n"/>
      <c r="J56" s="136" t="n"/>
      <c r="K56" s="136" t="n"/>
      <c r="L56" s="137" t="n"/>
      <c r="M56" t="inlineStr">
        <is>
          <t>0x00</t>
        </is>
      </c>
    </row>
    <row r="57">
      <c r="A57" s="28" t="n">
        <v>55</v>
      </c>
      <c r="B57" s="28">
        <f>CONCATENATE("0x",DEC2HEX(A57,4))</f>
        <v/>
      </c>
      <c r="C57" s="134" t="n"/>
      <c r="D57" s="28" t="inlineStr">
        <is>
          <t>PMU_Byte_11</t>
        </is>
      </c>
      <c r="E57" s="35" t="inlineStr">
        <is>
          <t>pmu_inst_test_en_lv</t>
        </is>
      </c>
      <c r="F57" s="51" t="n"/>
      <c r="G57" s="33" t="n"/>
      <c r="H57" s="35" t="inlineStr">
        <is>
          <t>pmu_inst_reg_test_lv</t>
        </is>
      </c>
      <c r="I57" s="136" t="n"/>
      <c r="J57" s="136" t="n"/>
      <c r="K57" s="136" t="n"/>
      <c r="L57" s="137" t="n"/>
      <c r="M57" t="inlineStr">
        <is>
          <t>0x00</t>
        </is>
      </c>
    </row>
    <row r="58">
      <c r="A58" s="28" t="n">
        <v>56</v>
      </c>
      <c r="B58" s="28">
        <f>CONCATENATE("0x",DEC2HEX(A58,4))</f>
        <v/>
      </c>
      <c r="C58" s="28" t="inlineStr">
        <is>
          <t>PMU_WADDR_3</t>
        </is>
      </c>
      <c r="D58" s="28" t="inlineStr">
        <is>
          <t>PMU_Byte_12</t>
        </is>
      </c>
      <c r="E58" s="35" t="inlineStr">
        <is>
          <t>pmu_inst_reg_pmu_0</t>
        </is>
      </c>
      <c r="F58" s="136" t="n"/>
      <c r="G58" s="136" t="n"/>
      <c r="H58" s="136" t="n"/>
      <c r="I58" s="136" t="n"/>
      <c r="J58" s="136" t="n"/>
      <c r="K58" s="136" t="n"/>
      <c r="L58" s="137" t="n"/>
      <c r="M58" t="inlineStr">
        <is>
          <t>0x00</t>
        </is>
      </c>
    </row>
    <row r="59">
      <c r="A59" s="28" t="n">
        <v>57</v>
      </c>
      <c r="B59" s="28">
        <f>CONCATENATE("0x",DEC2HEX(A59,4))</f>
        <v/>
      </c>
      <c r="C59" s="133" t="n"/>
      <c r="D59" s="28" t="inlineStr">
        <is>
          <t>PMU_Byte_13</t>
        </is>
      </c>
      <c r="E59" s="35" t="inlineStr">
        <is>
          <t>pmu_inst_reg_pmu_1</t>
        </is>
      </c>
      <c r="F59" s="136" t="n"/>
      <c r="G59" s="136" t="n"/>
      <c r="H59" s="136" t="n"/>
      <c r="I59" s="136" t="n"/>
      <c r="J59" s="136" t="n"/>
      <c r="K59" s="136" t="n"/>
      <c r="L59" s="137" t="n"/>
      <c r="M59" t="inlineStr">
        <is>
          <t>0x00</t>
        </is>
      </c>
    </row>
    <row r="60">
      <c r="A60" s="28" t="n">
        <v>58</v>
      </c>
      <c r="B60" s="28">
        <f>CONCATENATE("0x",DEC2HEX(A60,4))</f>
        <v/>
      </c>
      <c r="C60" s="133" t="n"/>
      <c r="D60" s="28" t="inlineStr">
        <is>
          <t>PMU_Byte_14</t>
        </is>
      </c>
      <c r="E60" s="35" t="inlineStr">
        <is>
          <t>pmu_inst_reg_pmu_2</t>
        </is>
      </c>
      <c r="F60" s="136" t="n"/>
      <c r="G60" s="136" t="n"/>
      <c r="H60" s="136" t="n"/>
      <c r="I60" s="136" t="n"/>
      <c r="J60" s="136" t="n"/>
      <c r="K60" s="136" t="n"/>
      <c r="L60" s="137" t="n"/>
      <c r="M60" t="inlineStr">
        <is>
          <t>0x00</t>
        </is>
      </c>
    </row>
    <row r="61">
      <c r="A61" s="28" t="n">
        <v>59</v>
      </c>
      <c r="B61" s="28">
        <f>CONCATENATE("0x",DEC2HEX(A61,4))</f>
        <v/>
      </c>
      <c r="C61" s="134" t="n"/>
      <c r="D61" s="47" t="inlineStr">
        <is>
          <t>PMU_Byte_15</t>
        </is>
      </c>
      <c r="E61" s="42" t="inlineStr">
        <is>
          <t>pmu_inst_reg_pmu_3</t>
        </is>
      </c>
      <c r="F61" s="146" t="n"/>
      <c r="G61" s="146" t="n"/>
      <c r="H61" s="146" t="n"/>
      <c r="I61" s="146" t="n"/>
      <c r="J61" s="146" t="n"/>
      <c r="K61" s="146" t="n"/>
      <c r="L61" s="144" t="n"/>
      <c r="M61" t="inlineStr">
        <is>
          <t>0x00</t>
        </is>
      </c>
    </row>
    <row r="62">
      <c r="A62" s="28" t="n">
        <v>60</v>
      </c>
      <c r="B62" s="28">
        <f>CONCATENATE("0x",DEC2HEX(A62,4))</f>
        <v/>
      </c>
      <c r="C62" s="28" t="n"/>
      <c r="D62" s="28" t="n"/>
      <c r="E62" s="58" t="n"/>
      <c r="F62" s="58" t="n"/>
      <c r="G62" s="58" t="n"/>
      <c r="H62" s="58" t="n"/>
      <c r="I62" s="58" t="n"/>
      <c r="J62" s="58" t="n"/>
      <c r="K62" s="28" t="n"/>
      <c r="L62" s="28" t="n"/>
      <c r="M62" t="inlineStr">
        <is>
          <t>0x00</t>
        </is>
      </c>
    </row>
    <row r="63">
      <c r="A63" s="28" t="n">
        <v>61</v>
      </c>
      <c r="B63" s="28">
        <f>CONCATENATE("0x",DEC2HEX(A63,4))</f>
        <v/>
      </c>
      <c r="C63" s="133" t="n"/>
      <c r="D63" s="28" t="n"/>
      <c r="E63" s="58" t="n"/>
      <c r="F63" s="58" t="n"/>
      <c r="G63" s="58" t="n"/>
      <c r="H63" s="58" t="n"/>
      <c r="I63" s="58" t="n"/>
      <c r="J63" s="58" t="n"/>
      <c r="K63" s="58" t="n"/>
      <c r="L63" s="28" t="n"/>
      <c r="M63" t="inlineStr">
        <is>
          <t>0x00</t>
        </is>
      </c>
    </row>
    <row r="64">
      <c r="A64" s="28" t="n">
        <v>62</v>
      </c>
      <c r="B64" s="28">
        <f>CONCATENATE("0x",DEC2HEX(A64,4))</f>
        <v/>
      </c>
      <c r="C64" s="133" t="n"/>
      <c r="D64" s="2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t="inlineStr">
        <is>
          <t>0x00</t>
        </is>
      </c>
    </row>
    <row r="65">
      <c r="A65" s="28" t="n">
        <v>63</v>
      </c>
      <c r="B65" s="28">
        <f>CONCATENATE("0x",DEC2HEX(A65,4))</f>
        <v/>
      </c>
      <c r="C65" s="134" t="n"/>
      <c r="D65" s="2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t="inlineStr">
        <is>
          <t>0x00</t>
        </is>
      </c>
    </row>
    <row r="66">
      <c r="A66" s="28" t="n">
        <v>64</v>
      </c>
      <c r="B66" s="28">
        <f>CONCATENATE("0x",DEC2HEX(A66,4))</f>
        <v/>
      </c>
      <c r="C66" s="28" t="inlineStr">
        <is>
          <t>CMP_WADDR</t>
        </is>
      </c>
      <c r="D66" s="28" t="inlineStr">
        <is>
          <t>CMP_Byte_0</t>
        </is>
      </c>
      <c r="E66" s="58" t="n"/>
      <c r="F66" s="58" t="n"/>
      <c r="G66" s="58" t="n"/>
      <c r="H66" s="58" t="n"/>
      <c r="I66" s="58" t="n"/>
      <c r="J66" s="58" t="n"/>
      <c r="K66" s="58" t="n"/>
      <c r="L66" s="28" t="inlineStr">
        <is>
          <t>cmp_inst_LI_VC_INN_SEL[0x1]</t>
        </is>
      </c>
      <c r="M66" t="inlineStr">
        <is>
          <t>0x01</t>
        </is>
      </c>
    </row>
    <row r="67">
      <c r="A67" s="28" t="n">
        <v>65</v>
      </c>
      <c r="B67" s="28">
        <f>CONCATENATE("0x",DEC2HEX(A67,4))</f>
        <v/>
      </c>
      <c r="C67" s="133" t="n"/>
      <c r="D67" s="28" t="inlineStr">
        <is>
          <t>CMP_Byte_1</t>
        </is>
      </c>
      <c r="E67" s="58" t="n"/>
      <c r="F67" s="58" t="n"/>
      <c r="G67" s="58" t="n"/>
      <c r="H67" s="58" t="n"/>
      <c r="I67" s="58" t="n"/>
      <c r="J67" s="58" t="n"/>
      <c r="K67" s="58" t="n"/>
      <c r="L67" s="28" t="inlineStr">
        <is>
          <t>cmp_inst_LI_VC_INP_SEL[0x1]</t>
        </is>
      </c>
      <c r="M67" t="inlineStr">
        <is>
          <t>0x01</t>
        </is>
      </c>
    </row>
    <row r="68">
      <c r="A68" s="28" t="n">
        <v>66</v>
      </c>
      <c r="B68" s="28">
        <f>CONCATENATE("0x",DEC2HEX(A68,4))</f>
        <v/>
      </c>
      <c r="C68" s="133" t="n"/>
      <c r="D68" s="28" t="inlineStr">
        <is>
          <t>CMP_Byte_2</t>
        </is>
      </c>
      <c r="E68" s="58" t="n"/>
      <c r="F68" s="58" t="n"/>
      <c r="G68" s="58" t="n"/>
      <c r="H68" s="28" t="inlineStr">
        <is>
          <t>cmp_inst_LI_VC_HYS_SEL</t>
        </is>
      </c>
      <c r="I68" s="135" t="n"/>
      <c r="J68" s="132" t="n"/>
      <c r="K68" s="28" t="inlineStr">
        <is>
          <t>cmp_inst_LI_VC_BIAS_SEL</t>
        </is>
      </c>
      <c r="L68" s="132" t="n"/>
      <c r="M68" t="inlineStr">
        <is>
          <t>0x00</t>
        </is>
      </c>
    </row>
    <row r="69">
      <c r="A69" s="28" t="n">
        <v>67</v>
      </c>
      <c r="B69" s="28">
        <f>CONCATENATE("0x",DEC2HEX(A69,4))</f>
        <v/>
      </c>
      <c r="C69" s="134" t="n"/>
      <c r="D69" s="28" t="inlineStr">
        <is>
          <t>CMP_Byte_3</t>
        </is>
      </c>
      <c r="E69" s="58" t="n"/>
      <c r="F69" s="58" t="n"/>
      <c r="G69" s="58" t="n"/>
      <c r="H69" s="58" t="n"/>
      <c r="I69" s="58" t="n"/>
      <c r="J69" s="58" t="n"/>
      <c r="K69" s="30" t="inlineStr">
        <is>
          <t>cmp_inst_LO_VC_OUT</t>
        </is>
      </c>
      <c r="L69" s="28" t="inlineStr">
        <is>
          <t>cmp_inst_LI_VC_EN</t>
        </is>
      </c>
      <c r="M69" t="inlineStr">
        <is>
          <t>0x00</t>
        </is>
      </c>
    </row>
    <row r="70">
      <c r="A70" s="28" t="n">
        <v>68</v>
      </c>
      <c r="B70" s="28">
        <f>CONCATENATE("0x",DEC2HEX(A70,4))</f>
        <v/>
      </c>
      <c r="C70" s="28" t="inlineStr">
        <is>
          <t>PGA_WADDR_0</t>
        </is>
      </c>
      <c r="D70" s="28" t="inlineStr">
        <is>
          <t>PGA_Byte_0</t>
        </is>
      </c>
      <c r="E70" s="58" t="n"/>
      <c r="F70" s="58" t="n"/>
      <c r="G70" s="58" t="n"/>
      <c r="H70" s="58" t="n"/>
      <c r="I70" s="58" t="n"/>
      <c r="J70" s="28" t="inlineStr">
        <is>
          <t>pga_inst_LI_PGA_BIAS_SEL[0x3]</t>
        </is>
      </c>
      <c r="K70" s="135" t="n"/>
      <c r="L70" s="132" t="n"/>
      <c r="M70" t="inlineStr">
        <is>
          <t>0x03</t>
        </is>
      </c>
    </row>
    <row r="71">
      <c r="A71" s="28" t="n">
        <v>69</v>
      </c>
      <c r="B71" s="28">
        <f>CONCATENATE("0x",DEC2HEX(A71,4))</f>
        <v/>
      </c>
      <c r="C71" s="133" t="n"/>
      <c r="D71" s="28" t="inlineStr">
        <is>
          <t>PGA_Byte_1</t>
        </is>
      </c>
      <c r="E71" s="58" t="n"/>
      <c r="F71" s="58" t="n"/>
      <c r="G71" s="58" t="n"/>
      <c r="H71" s="58" t="n"/>
      <c r="I71" s="58" t="n"/>
      <c r="J71" s="58" t="n"/>
      <c r="K71" s="28" t="inlineStr">
        <is>
          <t>pga_inst_LI_PGA_GAIN</t>
        </is>
      </c>
      <c r="L71" s="132" t="n"/>
      <c r="M71" t="inlineStr">
        <is>
          <t>0x00</t>
        </is>
      </c>
    </row>
    <row r="72">
      <c r="A72" s="28" t="n">
        <v>70</v>
      </c>
      <c r="B72" s="28">
        <f>CONCATENATE("0x",DEC2HEX(A72,4))</f>
        <v/>
      </c>
      <c r="C72" s="133" t="n"/>
      <c r="D72" s="28" t="inlineStr">
        <is>
          <t>PGA_Byte_2</t>
        </is>
      </c>
      <c r="E72" s="58" t="n"/>
      <c r="F72" s="58" t="n"/>
      <c r="G72" s="58" t="n"/>
      <c r="H72" s="58" t="n"/>
      <c r="I72" s="58" t="n"/>
      <c r="J72" s="58" t="n"/>
      <c r="K72" s="58" t="n"/>
      <c r="L72" s="28" t="inlineStr">
        <is>
          <t>pga_inst_LI_PGA_EN</t>
        </is>
      </c>
      <c r="M72" t="inlineStr">
        <is>
          <t>0x00</t>
        </is>
      </c>
    </row>
    <row r="73">
      <c r="A73" s="28" t="n">
        <v>71</v>
      </c>
      <c r="B73" s="28">
        <f>CONCATENATE("0x",DEC2HEX(A73,4))</f>
        <v/>
      </c>
      <c r="C73" s="134" t="n"/>
      <c r="D73" s="28" t="inlineStr">
        <is>
          <t>PGA_Byte_3</t>
        </is>
      </c>
      <c r="E73" s="58" t="n"/>
      <c r="F73" s="58" t="n"/>
      <c r="G73" s="59" t="n"/>
      <c r="H73" s="59" t="n"/>
      <c r="I73" s="59" t="n"/>
      <c r="J73" s="42" t="inlineStr">
        <is>
          <t>pga_inst_LI_CAL_SEL</t>
        </is>
      </c>
      <c r="K73" s="144" t="n"/>
      <c r="L73" s="42" t="inlineStr">
        <is>
          <t>pga_inst_LI_CAL_EN</t>
        </is>
      </c>
      <c r="M73" t="inlineStr">
        <is>
          <t>0x00</t>
        </is>
      </c>
    </row>
    <row r="74">
      <c r="A74" s="28" t="n">
        <v>72</v>
      </c>
      <c r="B74" s="28">
        <f>CONCATENATE("0x",DEC2HEX(A74,4))</f>
        <v/>
      </c>
      <c r="C74" s="28" t="inlineStr">
        <is>
          <t>PGA_WADDR_1</t>
        </is>
      </c>
      <c r="D74" s="28" t="inlineStr">
        <is>
          <t>PGA_Byte_4</t>
        </is>
      </c>
      <c r="E74" s="58" t="n"/>
      <c r="F74" s="58" t="n"/>
      <c r="G74" s="28" t="inlineStr">
        <is>
          <t>pga_inst_LI_TRIM_OFFSETN</t>
        </is>
      </c>
      <c r="H74" s="135" t="n"/>
      <c r="I74" s="135" t="n"/>
      <c r="J74" s="135" t="n"/>
      <c r="K74" s="135" t="n"/>
      <c r="L74" s="132" t="n"/>
      <c r="M74" t="inlineStr">
        <is>
          <t>0x00</t>
        </is>
      </c>
    </row>
    <row r="75">
      <c r="A75" s="28" t="n">
        <v>73</v>
      </c>
      <c r="B75" s="28">
        <f>CONCATENATE("0x",DEC2HEX(A75,4))</f>
        <v/>
      </c>
      <c r="C75" s="133" t="n"/>
      <c r="D75" s="28" t="inlineStr">
        <is>
          <t>PGA_Byte_5</t>
        </is>
      </c>
      <c r="E75" s="58" t="n"/>
      <c r="F75" s="58" t="n"/>
      <c r="G75" s="28" t="inlineStr">
        <is>
          <t>pga_inst_LI_TRIM_OFFSETP</t>
        </is>
      </c>
      <c r="H75" s="135" t="n"/>
      <c r="I75" s="135" t="n"/>
      <c r="J75" s="135" t="n"/>
      <c r="K75" s="135" t="n"/>
      <c r="L75" s="132" t="n"/>
      <c r="M75" t="inlineStr">
        <is>
          <t>0x00</t>
        </is>
      </c>
    </row>
    <row r="76">
      <c r="A76" s="28" t="n">
        <v>74</v>
      </c>
      <c r="B76" s="28">
        <f>CONCATENATE("0x",DEC2HEX(A76,4))</f>
        <v/>
      </c>
      <c r="C76" s="133" t="n"/>
      <c r="D76" s="28" t="inlineStr">
        <is>
          <t>PGA_Byte_6</t>
        </is>
      </c>
      <c r="E76" s="58" t="n"/>
      <c r="F76" s="35" t="inlineStr">
        <is>
          <t>pga_inst_LI_VCOM_SEL[0x3]</t>
        </is>
      </c>
      <c r="G76" s="136" t="n"/>
      <c r="H76" s="137" t="n"/>
      <c r="I76" s="60" t="n"/>
      <c r="J76" s="44" t="inlineStr">
        <is>
          <t>pga_inst_LI_VCOM_TEST</t>
        </is>
      </c>
      <c r="K76" s="44" t="inlineStr">
        <is>
          <t>pga_inst_LI_VCOM_MUX</t>
        </is>
      </c>
      <c r="L76" s="44" t="inlineStr">
        <is>
          <t>pga_inst_LI_VCOM_EN</t>
        </is>
      </c>
      <c r="M76" t="inlineStr">
        <is>
          <t>0x30</t>
        </is>
      </c>
    </row>
    <row r="77">
      <c r="A77" s="28" t="n">
        <v>75</v>
      </c>
      <c r="B77" s="28">
        <f>CONCATENATE("0x",DEC2HEX(A77,4))</f>
        <v/>
      </c>
      <c r="C77" s="134" t="n"/>
      <c r="D77" s="28" t="inlineStr">
        <is>
          <t>PGA_Byte_7</t>
        </is>
      </c>
      <c r="E77" s="58" t="n"/>
      <c r="F77" s="58" t="n"/>
      <c r="G77" s="58" t="n"/>
      <c r="H77" s="58" t="n"/>
      <c r="I77" s="58" t="n"/>
      <c r="J77" s="58" t="n"/>
      <c r="K77" s="58" t="n"/>
      <c r="L77" s="58" t="n"/>
      <c r="M77" t="inlineStr">
        <is>
          <t>0x00</t>
        </is>
      </c>
    </row>
    <row r="78">
      <c r="A78" s="28" t="n">
        <v>76</v>
      </c>
      <c r="B78" s="28">
        <f>CONCATENATE("0x",DEC2HEX(A78,4))</f>
        <v/>
      </c>
      <c r="C78" s="28" t="inlineStr">
        <is>
          <t>DAC_WADDR</t>
        </is>
      </c>
      <c r="D78" s="28" t="inlineStr">
        <is>
          <t>DAC_Byte_0</t>
        </is>
      </c>
      <c r="E78" s="28" t="inlineStr">
        <is>
          <t>dac_inst_LI_DIN_0</t>
        </is>
      </c>
      <c r="F78" s="135" t="n"/>
      <c r="G78" s="135" t="n"/>
      <c r="H78" s="135" t="n"/>
      <c r="I78" s="135" t="n"/>
      <c r="J78" s="135" t="n"/>
      <c r="K78" s="135" t="n"/>
      <c r="L78" s="132" t="n"/>
      <c r="M78" t="inlineStr">
        <is>
          <t>0x00</t>
        </is>
      </c>
    </row>
    <row r="79">
      <c r="A79" s="28" t="n">
        <v>77</v>
      </c>
      <c r="B79" s="28">
        <f>CONCATENATE("0x",DEC2HEX(A79,4))</f>
        <v/>
      </c>
      <c r="C79" s="133" t="n"/>
      <c r="D79" s="28" t="inlineStr">
        <is>
          <t>DAC_Byte_1</t>
        </is>
      </c>
      <c r="E79" s="58" t="n"/>
      <c r="F79" s="58" t="n"/>
      <c r="G79" s="58" t="n"/>
      <c r="H79" s="58" t="n"/>
      <c r="I79" s="28" t="inlineStr">
        <is>
          <t>dac_inst_LI_DIN_1</t>
        </is>
      </c>
      <c r="J79" s="135" t="n"/>
      <c r="K79" s="135" t="n"/>
      <c r="L79" s="132" t="n"/>
      <c r="M79" t="inlineStr">
        <is>
          <t>0x00</t>
        </is>
      </c>
    </row>
    <row r="80">
      <c r="A80" s="28" t="n">
        <v>78</v>
      </c>
      <c r="B80" s="28">
        <f>CONCATENATE("0x",DEC2HEX(A80,4))</f>
        <v/>
      </c>
      <c r="C80" s="133" t="n"/>
      <c r="D80" s="28" t="inlineStr">
        <is>
          <t>DAC_Byte_2</t>
        </is>
      </c>
      <c r="E80" s="58" t="n"/>
      <c r="F80" s="58" t="n"/>
      <c r="G80" s="58" t="n"/>
      <c r="H80" s="58" t="n"/>
      <c r="I80" s="58" t="n"/>
      <c r="J80" s="58" t="n"/>
      <c r="K80" s="58" t="n"/>
      <c r="L80" s="28" t="inlineStr">
        <is>
          <t>dac_inst_LI_EN</t>
        </is>
      </c>
      <c r="M80" t="inlineStr">
        <is>
          <t>0x00</t>
        </is>
      </c>
    </row>
    <row r="81">
      <c r="A81" s="28" t="n">
        <v>79</v>
      </c>
      <c r="B81" s="28">
        <f>CONCATENATE("0x",DEC2HEX(A81,4))</f>
        <v/>
      </c>
      <c r="C81" s="134" t="n"/>
      <c r="D81" s="28" t="inlineStr">
        <is>
          <t>DAC_Byte_3</t>
        </is>
      </c>
      <c r="E81" s="58" t="n"/>
      <c r="F81" s="58" t="n"/>
      <c r="G81" s="58" t="n"/>
      <c r="H81" s="58" t="n"/>
      <c r="I81" s="58" t="n"/>
      <c r="J81" s="58" t="n"/>
      <c r="K81" s="58" t="n"/>
      <c r="L81" s="30" t="inlineStr">
        <is>
          <t>dac_inst_LI_ENBUF[0x1]</t>
        </is>
      </c>
      <c r="M81" t="inlineStr">
        <is>
          <t>0x01</t>
        </is>
      </c>
    </row>
    <row r="82">
      <c r="A82" s="28" t="n">
        <v>80</v>
      </c>
      <c r="B82" s="28">
        <f>CONCATENATE("0x",DEC2HEX(A82,4))</f>
        <v/>
      </c>
      <c r="C82" s="28" t="inlineStr">
        <is>
          <t>OSC48M_WADDR</t>
        </is>
      </c>
      <c r="D82" s="28" t="inlineStr">
        <is>
          <t>OSC48M_Byte_0</t>
        </is>
      </c>
      <c r="E82" s="28" t="inlineStr">
        <is>
          <t>osc48m_inst_LI_RC48M_FOTP_0[0x0E]</t>
        </is>
      </c>
      <c r="F82" s="135" t="n"/>
      <c r="G82" s="135" t="n"/>
      <c r="H82" s="135" t="n"/>
      <c r="I82" s="135" t="n"/>
      <c r="J82" s="135" t="n"/>
      <c r="K82" s="135" t="n"/>
      <c r="L82" s="132" t="n"/>
      <c r="M82" t="inlineStr">
        <is>
          <t>0x0E</t>
        </is>
      </c>
    </row>
    <row r="83">
      <c r="A83" s="28" t="n">
        <v>81</v>
      </c>
      <c r="B83" s="28">
        <f>CONCATENATE("0x",DEC2HEX(A83,4))</f>
        <v/>
      </c>
      <c r="C83" s="133" t="n"/>
      <c r="D83" s="28" t="inlineStr">
        <is>
          <t>OSC48M_Byte_1</t>
        </is>
      </c>
      <c r="E83" s="58" t="n"/>
      <c r="F83" s="58" t="n"/>
      <c r="G83" s="58" t="n"/>
      <c r="H83" s="58" t="n"/>
      <c r="I83" s="58" t="n"/>
      <c r="J83" s="58" t="n"/>
      <c r="K83" s="29" t="inlineStr">
        <is>
          <t>osc48m_inst_LI_RC48M_FOTP_1[0x1]</t>
        </is>
      </c>
      <c r="L83" s="135" t="n"/>
      <c r="M83" t="inlineStr">
        <is>
          <t>0x01</t>
        </is>
      </c>
    </row>
    <row r="84">
      <c r="A84" s="28" t="n">
        <v>82</v>
      </c>
      <c r="B84" s="28">
        <f>CONCATENATE("0x",DEC2HEX(A84,4))</f>
        <v/>
      </c>
      <c r="C84" s="133" t="n"/>
      <c r="D84" s="28" t="inlineStr">
        <is>
          <t>OSC48M_Byte_2</t>
        </is>
      </c>
      <c r="E84" s="58" t="n"/>
      <c r="F84" s="58" t="n"/>
      <c r="G84" s="28" t="inlineStr">
        <is>
          <t>osc48m_inst_LI_RC48M_FSEL[0x3]</t>
        </is>
      </c>
      <c r="H84" s="132" t="n"/>
      <c r="I84" s="28" t="inlineStr">
        <is>
          <t>osc48m_inst_LI_RC48M_TC[0x8]</t>
        </is>
      </c>
      <c r="J84" s="135" t="n"/>
      <c r="K84" s="135" t="n"/>
      <c r="L84" s="132" t="n"/>
      <c r="M84" t="inlineStr">
        <is>
          <t>0x38</t>
        </is>
      </c>
    </row>
    <row r="85">
      <c r="A85" s="28" t="n">
        <v>83</v>
      </c>
      <c r="B85" s="28">
        <f>CONCATENATE("0x",DEC2HEX(A85,4))</f>
        <v/>
      </c>
      <c r="C85" s="134" t="n"/>
      <c r="D85" s="28" t="inlineStr">
        <is>
          <t>OSC48M_Byte_3</t>
        </is>
      </c>
      <c r="E85" s="138" t="inlineStr">
        <is>
          <t>osc48m_div_half_period</t>
        </is>
      </c>
      <c r="F85" s="136" t="n"/>
      <c r="G85" s="136" t="n"/>
      <c r="H85" s="139" t="n"/>
      <c r="I85" s="58" t="n"/>
      <c r="J85" s="58" t="n"/>
      <c r="K85" s="58" t="n"/>
      <c r="L85" s="28" t="inlineStr">
        <is>
          <t>osc48m_inst_LI_RC48M_EN</t>
        </is>
      </c>
      <c r="M85" t="inlineStr">
        <is>
          <t>0x00</t>
        </is>
      </c>
    </row>
    <row r="86">
      <c r="A86" s="28" t="n">
        <v>84</v>
      </c>
      <c r="B86" s="28">
        <f>CONCATENATE("0x",DEC2HEX(A86,4))</f>
        <v/>
      </c>
      <c r="C86" s="28" t="inlineStr">
        <is>
          <t>TOP_CTRL_WADDR_0</t>
        </is>
      </c>
      <c r="D86" s="28" t="inlineStr">
        <is>
          <t>TOP_CTRL_Byte_0</t>
        </is>
      </c>
      <c r="E86" s="58" t="n"/>
      <c r="F86" s="58" t="n"/>
      <c r="G86" s="58" t="n"/>
      <c r="H86" s="58" t="n"/>
      <c r="I86" s="30" t="inlineStr">
        <is>
          <t>top_inst_top_mux</t>
        </is>
      </c>
      <c r="J86" s="135" t="n"/>
      <c r="K86" s="135" t="n"/>
      <c r="L86" s="132" t="n"/>
      <c r="M86" t="inlineStr">
        <is>
          <t>0x00</t>
        </is>
      </c>
    </row>
    <row r="87">
      <c r="A87" s="28" t="n">
        <v>85</v>
      </c>
      <c r="B87" s="28">
        <f>CONCATENATE("0x",DEC2HEX(A87,4))</f>
        <v/>
      </c>
      <c r="C87" s="133" t="n"/>
      <c r="D87" s="28" t="inlineStr">
        <is>
          <t>TOP_CTRL_Byte_1</t>
        </is>
      </c>
      <c r="E87" s="58" t="n"/>
      <c r="F87" s="58" t="n"/>
      <c r="G87" s="58" t="n"/>
      <c r="H87" s="30" t="inlineStr">
        <is>
          <t>top_inst_top_test_sel</t>
        </is>
      </c>
      <c r="I87" s="135" t="n"/>
      <c r="J87" s="135" t="n"/>
      <c r="K87" s="135" t="n"/>
      <c r="L87" s="132" t="n"/>
      <c r="M87" t="inlineStr">
        <is>
          <t>0x00</t>
        </is>
      </c>
    </row>
    <row r="88">
      <c r="A88" s="28" t="n">
        <v>86</v>
      </c>
      <c r="B88" s="28">
        <f>CONCATENATE("0x",DEC2HEX(A88,4))</f>
        <v/>
      </c>
      <c r="C88" s="133" t="n"/>
      <c r="D88" s="28" t="inlineStr">
        <is>
          <t>TOP_CTRL_Byte_2</t>
        </is>
      </c>
      <c r="E88" s="30" t="inlineStr">
        <is>
          <t>top_inst_top_poc_reg</t>
        </is>
      </c>
      <c r="F88" s="135" t="n"/>
      <c r="G88" s="135" t="n"/>
      <c r="H88" s="135" t="n"/>
      <c r="I88" s="135" t="n"/>
      <c r="J88" s="135" t="n"/>
      <c r="K88" s="135" t="n"/>
      <c r="L88" s="132" t="n"/>
      <c r="M88" t="inlineStr">
        <is>
          <t>0x00</t>
        </is>
      </c>
    </row>
    <row r="89">
      <c r="A89" s="28" t="n">
        <v>87</v>
      </c>
      <c r="B89" s="28">
        <f>CONCATENATE("0x",DEC2HEX(A89,4))</f>
        <v/>
      </c>
      <c r="C89" s="134" t="n"/>
      <c r="D89" s="28" t="inlineStr">
        <is>
          <t>TOP_CTRL_Byte_3</t>
        </is>
      </c>
      <c r="E89" s="58" t="n"/>
      <c r="F89" s="58" t="n"/>
      <c r="G89" s="58" t="n"/>
      <c r="H89" s="58" t="n"/>
      <c r="I89" s="58" t="n"/>
      <c r="J89" s="28" t="n"/>
      <c r="K89" s="58" t="n"/>
      <c r="L89" s="28" t="n"/>
      <c r="M89" t="inlineStr">
        <is>
          <t>0x00</t>
        </is>
      </c>
    </row>
    <row r="90">
      <c r="A90" s="28" t="n">
        <v>88</v>
      </c>
      <c r="B90" s="28">
        <f>CONCATENATE("0x",DEC2HEX(A90,4))</f>
        <v/>
      </c>
      <c r="C90" s="28" t="inlineStr">
        <is>
          <t>TOP_CTRL_WADDR_1</t>
        </is>
      </c>
      <c r="D90" s="28" t="inlineStr">
        <is>
          <t>TOP_CTRL_Byte_4</t>
        </is>
      </c>
      <c r="E90" s="30" t="inlineStr">
        <is>
          <t>top_inst_top_reg_0[0x1]</t>
        </is>
      </c>
      <c r="F90" s="135" t="n"/>
      <c r="G90" s="135" t="n"/>
      <c r="H90" s="135" t="n"/>
      <c r="I90" s="135" t="n"/>
      <c r="J90" s="135" t="n"/>
      <c r="K90" s="135" t="n"/>
      <c r="L90" s="132" t="n"/>
      <c r="M90" t="inlineStr">
        <is>
          <t>0x01</t>
        </is>
      </c>
    </row>
    <row r="91">
      <c r="A91" s="28" t="n">
        <v>89</v>
      </c>
      <c r="B91" s="28">
        <f>CONCATENATE("0x",DEC2HEX(A91,4))</f>
        <v/>
      </c>
      <c r="C91" s="133" t="n"/>
      <c r="D91" s="28" t="inlineStr">
        <is>
          <t>TOP_CTRL_Byte_5</t>
        </is>
      </c>
      <c r="E91" s="30" t="inlineStr">
        <is>
          <t>top_inst_top_reg_1[0x22]</t>
        </is>
      </c>
      <c r="F91" s="135" t="n"/>
      <c r="G91" s="135" t="n"/>
      <c r="H91" s="135" t="n"/>
      <c r="I91" s="135" t="n"/>
      <c r="J91" s="135" t="n"/>
      <c r="K91" s="135" t="n"/>
      <c r="L91" s="132" t="n"/>
      <c r="M91" t="inlineStr">
        <is>
          <t>0x22</t>
        </is>
      </c>
    </row>
    <row r="92">
      <c r="A92" s="28" t="n">
        <v>90</v>
      </c>
      <c r="B92" s="28">
        <f>CONCATENATE("0x",DEC2HEX(A92,4))</f>
        <v/>
      </c>
      <c r="C92" s="133" t="n"/>
      <c r="D92" s="28" t="inlineStr">
        <is>
          <t>TOP_CTRL_Byte_6</t>
        </is>
      </c>
      <c r="E92" s="30" t="inlineStr">
        <is>
          <t>top_inst_top_reg_2</t>
        </is>
      </c>
      <c r="F92" s="135" t="n"/>
      <c r="G92" s="135" t="n"/>
      <c r="H92" s="135" t="n"/>
      <c r="I92" s="135" t="n"/>
      <c r="J92" s="135" t="n"/>
      <c r="K92" s="135" t="n"/>
      <c r="L92" s="132" t="n"/>
      <c r="M92" t="inlineStr">
        <is>
          <t>0x00</t>
        </is>
      </c>
    </row>
    <row r="93">
      <c r="A93" s="28" t="n">
        <v>91</v>
      </c>
      <c r="B93" s="28">
        <f>CONCATENATE("0x",DEC2HEX(A93,4))</f>
        <v/>
      </c>
      <c r="C93" s="134" t="n"/>
      <c r="D93" s="28" t="inlineStr">
        <is>
          <t>TOP_CTRL_Byte_7</t>
        </is>
      </c>
      <c r="E93" s="30" t="inlineStr">
        <is>
          <t>top_inst_top_reg_3</t>
        </is>
      </c>
      <c r="F93" s="135" t="n"/>
      <c r="G93" s="135" t="n"/>
      <c r="H93" s="135" t="n"/>
      <c r="I93" s="135" t="n"/>
      <c r="J93" s="135" t="n"/>
      <c r="K93" s="135" t="n"/>
      <c r="L93" s="132" t="n"/>
      <c r="M93" t="inlineStr">
        <is>
          <t>0x00</t>
        </is>
      </c>
    </row>
    <row r="94">
      <c r="A94" s="28" t="n">
        <v>92</v>
      </c>
      <c r="B94" s="28">
        <f>CONCATENATE("0x",DEC2HEX(A94,4))</f>
        <v/>
      </c>
      <c r="C94" s="28" t="inlineStr">
        <is>
          <t>TEST_MODE_CTRL_WADDR</t>
        </is>
      </c>
      <c r="D94" s="28" t="inlineStr">
        <is>
          <t>TEST_MODE_CTRL_Byte_0</t>
        </is>
      </c>
      <c r="E94" s="58" t="n"/>
      <c r="F94" s="58" t="n"/>
      <c r="G94" s="58" t="n"/>
      <c r="H94" s="58" t="n"/>
      <c r="I94" s="58" t="n"/>
      <c r="J94" s="58" t="n"/>
      <c r="K94" s="58" t="n"/>
      <c r="L94" s="58" t="n"/>
      <c r="M94" t="inlineStr">
        <is>
          <t>0x00</t>
        </is>
      </c>
    </row>
    <row r="95">
      <c r="A95" s="28" t="n">
        <v>93</v>
      </c>
      <c r="B95" s="28">
        <f>CONCATENATE("0x",DEC2HEX(A95,4))</f>
        <v/>
      </c>
      <c r="C95" s="133" t="n"/>
      <c r="D95" s="28" t="inlineStr">
        <is>
          <t>TEST_MODE_CTRL_Byte_1</t>
        </is>
      </c>
      <c r="E95" s="58" t="n"/>
      <c r="F95" s="58" t="n"/>
      <c r="G95" s="58" t="n"/>
      <c r="H95" s="58" t="n"/>
      <c r="I95" s="58" t="n"/>
      <c r="J95" s="58" t="n"/>
      <c r="K95" s="58" t="n"/>
      <c r="L95" s="58" t="n"/>
      <c r="M95" t="inlineStr">
        <is>
          <t>0x00</t>
        </is>
      </c>
    </row>
    <row r="96">
      <c r="A96" s="28" t="n">
        <v>94</v>
      </c>
      <c r="B96" s="28">
        <f>CONCATENATE("0x",DEC2HEX(A96,4))</f>
        <v/>
      </c>
      <c r="C96" s="133" t="n"/>
      <c r="D96" s="28" t="inlineStr">
        <is>
          <t>TEST_MODE_CTRL_Byte_2</t>
        </is>
      </c>
      <c r="E96" s="58" t="n"/>
      <c r="F96" s="58" t="n"/>
      <c r="G96" s="58" t="n"/>
      <c r="H96" s="58" t="n"/>
      <c r="I96" s="58" t="n"/>
      <c r="J96" s="58" t="n"/>
      <c r="K96" s="58" t="n"/>
      <c r="L96" s="58" t="n"/>
      <c r="M96" t="inlineStr">
        <is>
          <t>0x00</t>
        </is>
      </c>
    </row>
    <row r="97">
      <c r="A97" s="28" t="n">
        <v>95</v>
      </c>
      <c r="B97" s="28">
        <f>CONCATENATE("0x",DEC2HEX(A97,4))</f>
        <v/>
      </c>
      <c r="C97" s="134" t="n"/>
      <c r="D97" s="28" t="inlineStr">
        <is>
          <t>TEST_MODE_CTRL_Byte_3</t>
        </is>
      </c>
      <c r="E97" s="58" t="n"/>
      <c r="F97" s="58" t="n"/>
      <c r="G97" s="58" t="n"/>
      <c r="H97" s="58" t="n"/>
      <c r="I97" s="58" t="n"/>
      <c r="J97" s="58" t="n"/>
      <c r="K97" s="58" t="n"/>
      <c r="L97" s="58" t="n"/>
      <c r="M97" t="inlineStr">
        <is>
          <t>0x00</t>
        </is>
      </c>
    </row>
    <row r="98">
      <c r="A98" s="28" t="n">
        <v>96</v>
      </c>
      <c r="B98" s="28">
        <f>CONCATENATE("0x",DEC2HEX(A98,4))</f>
        <v/>
      </c>
      <c r="C98" s="28" t="inlineStr">
        <is>
          <t>GPIO_IE_WADDR_0</t>
        </is>
      </c>
      <c r="D98" s="28" t="inlineStr">
        <is>
          <t>GPIO_IE_Byte_0</t>
        </is>
      </c>
      <c r="E98" s="30" t="inlineStr">
        <is>
          <t>gpio_ie_0[0xFF]</t>
        </is>
      </c>
      <c r="F98" s="135" t="n"/>
      <c r="G98" s="135" t="n"/>
      <c r="H98" s="135" t="n"/>
      <c r="I98" s="135" t="n"/>
      <c r="J98" s="135" t="n"/>
      <c r="K98" s="135" t="n"/>
      <c r="L98" s="132" t="n"/>
      <c r="M98" t="inlineStr">
        <is>
          <t>0xFF</t>
        </is>
      </c>
    </row>
    <row r="99">
      <c r="A99" s="28" t="n">
        <v>97</v>
      </c>
      <c r="B99" s="28">
        <f>CONCATENATE("0x",DEC2HEX(A99,4))</f>
        <v/>
      </c>
      <c r="C99" s="133" t="n"/>
      <c r="D99" s="28" t="inlineStr">
        <is>
          <t>GPIO_IE_Byte_1</t>
        </is>
      </c>
      <c r="E99" s="30" t="inlineStr">
        <is>
          <t>gpio_ie_1[0xFF]</t>
        </is>
      </c>
      <c r="F99" s="135" t="n"/>
      <c r="G99" s="135" t="n"/>
      <c r="H99" s="135" t="n"/>
      <c r="I99" s="135" t="n"/>
      <c r="J99" s="135" t="n"/>
      <c r="K99" s="135" t="n"/>
      <c r="L99" s="132" t="n"/>
      <c r="M99" t="inlineStr">
        <is>
          <t>0xFF</t>
        </is>
      </c>
    </row>
    <row r="100">
      <c r="A100" s="28" t="n">
        <v>98</v>
      </c>
      <c r="B100" s="28">
        <f>CONCATENATE("0x",DEC2HEX(A100,4))</f>
        <v/>
      </c>
      <c r="C100" s="133" t="n"/>
      <c r="D100" s="28" t="inlineStr">
        <is>
          <t>GPIO_IE_Byte_2</t>
        </is>
      </c>
      <c r="E100" s="30" t="inlineStr">
        <is>
          <t>gpio_ie_2[0xFF]</t>
        </is>
      </c>
      <c r="F100" s="135" t="n"/>
      <c r="G100" s="135" t="n"/>
      <c r="H100" s="135" t="n"/>
      <c r="I100" s="135" t="n"/>
      <c r="J100" s="135" t="n"/>
      <c r="K100" s="135" t="n"/>
      <c r="L100" s="132" t="n"/>
      <c r="M100" t="inlineStr">
        <is>
          <t>0xFF</t>
        </is>
      </c>
    </row>
    <row r="101">
      <c r="A101" s="28" t="n">
        <v>99</v>
      </c>
      <c r="B101" s="28">
        <f>CONCATENATE("0x",DEC2HEX(A101,4))</f>
        <v/>
      </c>
      <c r="C101" s="134" t="n"/>
      <c r="D101" s="28" t="inlineStr">
        <is>
          <t>GPIO_IE_Byte_3</t>
        </is>
      </c>
      <c r="E101" s="30" t="inlineStr">
        <is>
          <t>gpio_ie_3[0xFF]</t>
        </is>
      </c>
      <c r="F101" s="135" t="n"/>
      <c r="G101" s="135" t="n"/>
      <c r="H101" s="135" t="n"/>
      <c r="I101" s="135" t="n"/>
      <c r="J101" s="135" t="n"/>
      <c r="K101" s="135" t="n"/>
      <c r="L101" s="132" t="n"/>
      <c r="M101" t="inlineStr">
        <is>
          <t>0xFF</t>
        </is>
      </c>
    </row>
    <row r="102">
      <c r="A102" s="28" t="n">
        <v>100</v>
      </c>
      <c r="B102" s="28">
        <f>CONCATENATE("0x",DEC2HEX(A102,4))</f>
        <v/>
      </c>
      <c r="C102" s="28" t="inlineStr">
        <is>
          <t>GPIO_IE_WADDR_1</t>
        </is>
      </c>
      <c r="D102" s="28" t="inlineStr">
        <is>
          <t>GPIO_IE_Byte_4</t>
        </is>
      </c>
      <c r="E102" s="58" t="n"/>
      <c r="F102" s="58" t="n"/>
      <c r="G102" s="58" t="n"/>
      <c r="H102" s="58" t="n"/>
      <c r="I102" s="30" t="inlineStr">
        <is>
          <t>gpio_ie_4[0xF]</t>
        </is>
      </c>
      <c r="J102" s="135" t="n"/>
      <c r="K102" s="135" t="n"/>
      <c r="L102" s="132" t="n"/>
      <c r="M102" t="inlineStr">
        <is>
          <t>0x0F</t>
        </is>
      </c>
    </row>
    <row r="103">
      <c r="A103" s="28" t="n">
        <v>101</v>
      </c>
      <c r="B103" s="28">
        <f>CONCATENATE("0x",DEC2HEX(A103,4))</f>
        <v/>
      </c>
      <c r="C103" s="133" t="n"/>
      <c r="D103" s="28" t="inlineStr">
        <is>
          <t>GPIO_IE_Byte_5</t>
        </is>
      </c>
      <c r="E103" s="58" t="n"/>
      <c r="F103" s="58" t="n"/>
      <c r="G103" s="58" t="n"/>
      <c r="H103" s="58" t="n"/>
      <c r="I103" s="30" t="n"/>
      <c r="J103" s="30" t="n"/>
      <c r="K103" s="30" t="n"/>
      <c r="L103" s="30" t="n"/>
      <c r="M103" t="inlineStr">
        <is>
          <t>0x00</t>
        </is>
      </c>
    </row>
    <row r="104">
      <c r="A104" s="28" t="n">
        <v>102</v>
      </c>
      <c r="B104" s="28">
        <f>CONCATENATE("0x",DEC2HEX(A104,4))</f>
        <v/>
      </c>
      <c r="C104" s="133" t="n"/>
      <c r="D104" s="28" t="inlineStr">
        <is>
          <t>GPIO_IE_Byte_6</t>
        </is>
      </c>
      <c r="E104" s="58" t="n"/>
      <c r="F104" s="58" t="n"/>
      <c r="G104" s="58" t="n"/>
      <c r="H104" s="58" t="n"/>
      <c r="I104" s="30" t="n"/>
      <c r="J104" s="30" t="n"/>
      <c r="K104" s="30" t="n"/>
      <c r="L104" s="30" t="n"/>
      <c r="M104" t="inlineStr">
        <is>
          <t>0x00</t>
        </is>
      </c>
    </row>
    <row r="105">
      <c r="A105" s="28" t="n">
        <v>103</v>
      </c>
      <c r="B105" s="28">
        <f>CONCATENATE("0x",DEC2HEX(A105,4))</f>
        <v/>
      </c>
      <c r="C105" s="134" t="n"/>
      <c r="D105" s="28" t="inlineStr">
        <is>
          <t>GPIO_IE_Byte_7</t>
        </is>
      </c>
      <c r="E105" s="58" t="n"/>
      <c r="F105" s="58" t="n"/>
      <c r="G105" s="58" t="n"/>
      <c r="H105" s="58" t="n"/>
      <c r="I105" s="30" t="n"/>
      <c r="J105" s="30" t="n"/>
      <c r="K105" s="30" t="n"/>
      <c r="L105" s="30" t="n"/>
      <c r="M105" t="inlineStr">
        <is>
          <t>0x00</t>
        </is>
      </c>
    </row>
    <row r="106">
      <c r="A106" s="28" t="n">
        <v>104</v>
      </c>
      <c r="B106" s="28">
        <f>CONCATENATE("0x",DEC2HEX(A106,4))</f>
        <v/>
      </c>
      <c r="C106" s="28" t="inlineStr">
        <is>
          <t>GPIO_OE_WADDR_0</t>
        </is>
      </c>
      <c r="D106" s="28" t="inlineStr">
        <is>
          <t>GPIO_OE_Byte_0</t>
        </is>
      </c>
      <c r="E106" s="30" t="inlineStr">
        <is>
          <t>gpio_oe_0</t>
        </is>
      </c>
      <c r="F106" s="135" t="n"/>
      <c r="G106" s="135" t="n"/>
      <c r="H106" s="135" t="n"/>
      <c r="I106" s="135" t="n"/>
      <c r="J106" s="135" t="n"/>
      <c r="K106" s="135" t="n"/>
      <c r="L106" s="132" t="n"/>
      <c r="M106" t="inlineStr">
        <is>
          <t>0x00</t>
        </is>
      </c>
    </row>
    <row r="107">
      <c r="A107" s="28" t="n">
        <v>105</v>
      </c>
      <c r="B107" s="28">
        <f>CONCATENATE("0x",DEC2HEX(A107,4))</f>
        <v/>
      </c>
      <c r="C107" s="133" t="n"/>
      <c r="D107" s="28" t="inlineStr">
        <is>
          <t>GPIO_OE_Byte_1</t>
        </is>
      </c>
      <c r="E107" s="30" t="inlineStr">
        <is>
          <t>gpio_oe_1</t>
        </is>
      </c>
      <c r="F107" s="135" t="n"/>
      <c r="G107" s="135" t="n"/>
      <c r="H107" s="135" t="n"/>
      <c r="I107" s="135" t="n"/>
      <c r="J107" s="135" t="n"/>
      <c r="K107" s="135" t="n"/>
      <c r="L107" s="132" t="n"/>
      <c r="M107" t="inlineStr">
        <is>
          <t>0x00</t>
        </is>
      </c>
    </row>
    <row r="108">
      <c r="A108" s="28" t="n">
        <v>106</v>
      </c>
      <c r="B108" s="28">
        <f>CONCATENATE("0x",DEC2HEX(A108,4))</f>
        <v/>
      </c>
      <c r="C108" s="133" t="n"/>
      <c r="D108" s="28" t="inlineStr">
        <is>
          <t>GPIO_OE_Byte_2</t>
        </is>
      </c>
      <c r="E108" s="30" t="inlineStr">
        <is>
          <t>gpio_oe_2</t>
        </is>
      </c>
      <c r="F108" s="135" t="n"/>
      <c r="G108" s="135" t="n"/>
      <c r="H108" s="135" t="n"/>
      <c r="I108" s="135" t="n"/>
      <c r="J108" s="135" t="n"/>
      <c r="K108" s="135" t="n"/>
      <c r="L108" s="132" t="n"/>
      <c r="M108" t="inlineStr">
        <is>
          <t>0x00</t>
        </is>
      </c>
    </row>
    <row r="109">
      <c r="A109" s="28" t="n">
        <v>107</v>
      </c>
      <c r="B109" s="28">
        <f>CONCATENATE("0x",DEC2HEX(A109,4))</f>
        <v/>
      </c>
      <c r="C109" s="134" t="n"/>
      <c r="D109" s="28" t="inlineStr">
        <is>
          <t>GPIO_OE_Byte_3</t>
        </is>
      </c>
      <c r="E109" s="30" t="inlineStr">
        <is>
          <t>gpio_oe_3</t>
        </is>
      </c>
      <c r="F109" s="135" t="n"/>
      <c r="G109" s="135" t="n"/>
      <c r="H109" s="135" t="n"/>
      <c r="I109" s="135" t="n"/>
      <c r="J109" s="135" t="n"/>
      <c r="K109" s="135" t="n"/>
      <c r="L109" s="132" t="n"/>
      <c r="M109" t="inlineStr">
        <is>
          <t>0x00</t>
        </is>
      </c>
    </row>
    <row r="110">
      <c r="A110" s="28" t="n">
        <v>108</v>
      </c>
      <c r="B110" s="28">
        <f>CONCATENATE("0x",DEC2HEX(A110,4))</f>
        <v/>
      </c>
      <c r="C110" s="28" t="inlineStr">
        <is>
          <t>GPIO_OE_WADDR_1</t>
        </is>
      </c>
      <c r="D110" s="28" t="inlineStr">
        <is>
          <t>GPIO_OE_Byte_4</t>
        </is>
      </c>
      <c r="E110" s="58" t="n"/>
      <c r="F110" s="58" t="n"/>
      <c r="G110" s="58" t="n"/>
      <c r="H110" s="58" t="n"/>
      <c r="I110" s="30" t="inlineStr">
        <is>
          <t>gpio_oe_4</t>
        </is>
      </c>
      <c r="J110" s="135" t="n"/>
      <c r="K110" s="135" t="n"/>
      <c r="L110" s="132" t="n"/>
      <c r="M110" t="inlineStr">
        <is>
          <t>0x00</t>
        </is>
      </c>
    </row>
    <row r="111">
      <c r="A111" s="28" t="n">
        <v>109</v>
      </c>
      <c r="B111" s="28">
        <f>CONCATENATE("0x",DEC2HEX(A111,4))</f>
        <v/>
      </c>
      <c r="C111" s="133" t="n"/>
      <c r="D111" s="28" t="inlineStr">
        <is>
          <t>GPIO_OE_Byte_5</t>
        </is>
      </c>
      <c r="E111" s="58" t="n"/>
      <c r="F111" s="58" t="n"/>
      <c r="G111" s="58" t="n"/>
      <c r="H111" s="58" t="n"/>
      <c r="I111" s="30" t="n"/>
      <c r="J111" s="30" t="n"/>
      <c r="K111" s="30" t="n"/>
      <c r="L111" s="30" t="n"/>
      <c r="M111" t="inlineStr">
        <is>
          <t>0x00</t>
        </is>
      </c>
    </row>
    <row r="112">
      <c r="A112" s="28" t="n">
        <v>110</v>
      </c>
      <c r="B112" s="28">
        <f>CONCATENATE("0x",DEC2HEX(A112,4))</f>
        <v/>
      </c>
      <c r="C112" s="133" t="n"/>
      <c r="D112" s="28" t="inlineStr">
        <is>
          <t>GPIO_OE_Byte_6</t>
        </is>
      </c>
      <c r="E112" s="58" t="n"/>
      <c r="F112" s="58" t="n"/>
      <c r="G112" s="58" t="n"/>
      <c r="H112" s="58" t="n"/>
      <c r="I112" s="30" t="n"/>
      <c r="J112" s="30" t="n"/>
      <c r="K112" s="30" t="n"/>
      <c r="L112" s="30" t="n"/>
      <c r="M112" t="inlineStr">
        <is>
          <t>0x00</t>
        </is>
      </c>
    </row>
    <row r="113">
      <c r="A113" s="28" t="n">
        <v>111</v>
      </c>
      <c r="B113" s="28">
        <f>CONCATENATE("0x",DEC2HEX(A113,4))</f>
        <v/>
      </c>
      <c r="C113" s="134" t="n"/>
      <c r="D113" s="28" t="inlineStr">
        <is>
          <t>GPIO_OE_Byte_7</t>
        </is>
      </c>
      <c r="E113" s="58" t="n"/>
      <c r="F113" s="58" t="n"/>
      <c r="G113" s="58" t="n"/>
      <c r="H113" s="58" t="n"/>
      <c r="I113" s="30" t="n"/>
      <c r="J113" s="30" t="n"/>
      <c r="K113" s="30" t="n"/>
      <c r="L113" s="30" t="n"/>
      <c r="M113" t="inlineStr">
        <is>
          <t>0x00</t>
        </is>
      </c>
    </row>
    <row r="114">
      <c r="A114" s="28" t="n">
        <v>112</v>
      </c>
      <c r="B114" s="28">
        <f>CONCATENATE("0x",DEC2HEX(A114,4))</f>
        <v/>
      </c>
      <c r="C114" s="28" t="inlineStr">
        <is>
          <t>GPIO_OUT_WADDR_0</t>
        </is>
      </c>
      <c r="D114" s="28" t="inlineStr">
        <is>
          <t>GPIO_OUT_Byte_0</t>
        </is>
      </c>
      <c r="E114" s="30" t="inlineStr">
        <is>
          <t>gpio_out_0</t>
        </is>
      </c>
      <c r="F114" s="135" t="n"/>
      <c r="G114" s="135" t="n"/>
      <c r="H114" s="135" t="n"/>
      <c r="I114" s="135" t="n"/>
      <c r="J114" s="135" t="n"/>
      <c r="K114" s="135" t="n"/>
      <c r="L114" s="132" t="n"/>
      <c r="M114" t="inlineStr">
        <is>
          <t>0x00</t>
        </is>
      </c>
    </row>
    <row r="115">
      <c r="A115" s="28" t="n">
        <v>113</v>
      </c>
      <c r="B115" s="28">
        <f>CONCATENATE("0x",DEC2HEX(A115,4))</f>
        <v/>
      </c>
      <c r="C115" s="133" t="n"/>
      <c r="D115" s="28" t="inlineStr">
        <is>
          <t>GPIO_OUT_Byte_1</t>
        </is>
      </c>
      <c r="E115" s="30" t="inlineStr">
        <is>
          <t>gpio_out_1</t>
        </is>
      </c>
      <c r="F115" s="135" t="n"/>
      <c r="G115" s="135" t="n"/>
      <c r="H115" s="135" t="n"/>
      <c r="I115" s="135" t="n"/>
      <c r="J115" s="135" t="n"/>
      <c r="K115" s="135" t="n"/>
      <c r="L115" s="132" t="n"/>
      <c r="M115" t="inlineStr">
        <is>
          <t>0x00</t>
        </is>
      </c>
    </row>
    <row r="116">
      <c r="A116" s="28" t="n">
        <v>114</v>
      </c>
      <c r="B116" s="28">
        <f>CONCATENATE("0x",DEC2HEX(A116,4))</f>
        <v/>
      </c>
      <c r="C116" s="133" t="n"/>
      <c r="D116" s="28" t="inlineStr">
        <is>
          <t>GPIO_OUT_Byte_2</t>
        </is>
      </c>
      <c r="E116" s="30" t="inlineStr">
        <is>
          <t>gpio_out_2</t>
        </is>
      </c>
      <c r="F116" s="135" t="n"/>
      <c r="G116" s="135" t="n"/>
      <c r="H116" s="135" t="n"/>
      <c r="I116" s="135" t="n"/>
      <c r="J116" s="135" t="n"/>
      <c r="K116" s="135" t="n"/>
      <c r="L116" s="132" t="n"/>
      <c r="M116" t="inlineStr">
        <is>
          <t>0x00</t>
        </is>
      </c>
    </row>
    <row r="117">
      <c r="A117" s="28" t="n">
        <v>115</v>
      </c>
      <c r="B117" s="28">
        <f>CONCATENATE("0x",DEC2HEX(A117,4))</f>
        <v/>
      </c>
      <c r="C117" s="134" t="n"/>
      <c r="D117" s="28" t="inlineStr">
        <is>
          <t>GPIO_OUT_Byte_3</t>
        </is>
      </c>
      <c r="E117" s="30" t="inlineStr">
        <is>
          <t>gpio_out_3</t>
        </is>
      </c>
      <c r="F117" s="135" t="n"/>
      <c r="G117" s="135" t="n"/>
      <c r="H117" s="135" t="n"/>
      <c r="I117" s="135" t="n"/>
      <c r="J117" s="135" t="n"/>
      <c r="K117" s="135" t="n"/>
      <c r="L117" s="132" t="n"/>
      <c r="M117" t="inlineStr">
        <is>
          <t>0x00</t>
        </is>
      </c>
    </row>
    <row r="118">
      <c r="A118" s="28" t="n">
        <v>116</v>
      </c>
      <c r="B118" s="28">
        <f>CONCATENATE("0x",DEC2HEX(A118,4))</f>
        <v/>
      </c>
      <c r="C118" s="28" t="inlineStr">
        <is>
          <t>GPIO_OUT_WADDR_1</t>
        </is>
      </c>
      <c r="D118" s="28" t="inlineStr">
        <is>
          <t>GPIO_OUT_Byte_4</t>
        </is>
      </c>
      <c r="E118" s="58" t="n"/>
      <c r="F118" s="58" t="n"/>
      <c r="G118" s="58" t="n"/>
      <c r="H118" s="58" t="n"/>
      <c r="I118" s="30" t="inlineStr">
        <is>
          <t>gpio_out_4</t>
        </is>
      </c>
      <c r="J118" s="135" t="n"/>
      <c r="K118" s="135" t="n"/>
      <c r="L118" s="132" t="n"/>
      <c r="M118" t="inlineStr">
        <is>
          <t>0x00</t>
        </is>
      </c>
    </row>
    <row r="119">
      <c r="A119" s="28" t="n">
        <v>117</v>
      </c>
      <c r="B119" s="28">
        <f>CONCATENATE("0x",DEC2HEX(A119,4))</f>
        <v/>
      </c>
      <c r="C119" s="133" t="n"/>
      <c r="D119" s="28" t="inlineStr">
        <is>
          <t>GPIO_OUT_Byte_5</t>
        </is>
      </c>
      <c r="E119" s="58" t="n"/>
      <c r="F119" s="58" t="n"/>
      <c r="G119" s="58" t="n"/>
      <c r="H119" s="58" t="n"/>
      <c r="I119" s="30" t="n"/>
      <c r="J119" s="30" t="n"/>
      <c r="K119" s="30" t="n"/>
      <c r="L119" s="30" t="n"/>
      <c r="M119" t="inlineStr">
        <is>
          <t>0x00</t>
        </is>
      </c>
    </row>
    <row r="120">
      <c r="A120" s="28" t="n">
        <v>118</v>
      </c>
      <c r="B120" s="28">
        <f>CONCATENATE("0x",DEC2HEX(A120,4))</f>
        <v/>
      </c>
      <c r="C120" s="133" t="n"/>
      <c r="D120" s="28" t="inlineStr">
        <is>
          <t>GPIO_OUT_Byte_6</t>
        </is>
      </c>
      <c r="E120" s="58" t="n"/>
      <c r="F120" s="58" t="n"/>
      <c r="G120" s="58" t="n"/>
      <c r="H120" s="58" t="n"/>
      <c r="I120" s="30" t="n"/>
      <c r="J120" s="30" t="n"/>
      <c r="K120" s="30" t="n"/>
      <c r="L120" s="30" t="n"/>
      <c r="M120" t="inlineStr">
        <is>
          <t>0x00</t>
        </is>
      </c>
    </row>
    <row r="121">
      <c r="A121" s="28" t="n">
        <v>119</v>
      </c>
      <c r="B121" s="28">
        <f>CONCATENATE("0x",DEC2HEX(A121,4))</f>
        <v/>
      </c>
      <c r="C121" s="134" t="n"/>
      <c r="D121" s="28" t="inlineStr">
        <is>
          <t>GPIO_OUT_Byte_7</t>
        </is>
      </c>
      <c r="E121" s="58" t="n"/>
      <c r="F121" s="58" t="n"/>
      <c r="G121" s="58" t="n"/>
      <c r="H121" s="58" t="n"/>
      <c r="I121" s="30" t="n"/>
      <c r="J121" s="30" t="n"/>
      <c r="K121" s="30" t="n"/>
      <c r="L121" s="30" t="n"/>
      <c r="M121" t="inlineStr">
        <is>
          <t>0x00</t>
        </is>
      </c>
    </row>
    <row r="122">
      <c r="A122" s="28" t="n">
        <v>120</v>
      </c>
      <c r="B122" s="28">
        <f>CONCATENATE("0x",DEC2HEX(A122,4))</f>
        <v/>
      </c>
      <c r="C122" s="28" t="inlineStr">
        <is>
          <t>GPIO_IN_WADDR_0</t>
        </is>
      </c>
      <c r="D122" s="28" t="inlineStr">
        <is>
          <t>GPIO_IN_Byte_0</t>
        </is>
      </c>
      <c r="E122" s="30" t="inlineStr">
        <is>
          <t>gpio_in_0</t>
        </is>
      </c>
      <c r="F122" s="135" t="n"/>
      <c r="G122" s="135" t="n"/>
      <c r="H122" s="135" t="n"/>
      <c r="I122" s="135" t="n"/>
      <c r="J122" s="135" t="n"/>
      <c r="K122" s="135" t="n"/>
      <c r="L122" s="132" t="n"/>
      <c r="M122" t="inlineStr">
        <is>
          <t>0x00</t>
        </is>
      </c>
    </row>
    <row r="123">
      <c r="A123" s="28" t="n">
        <v>121</v>
      </c>
      <c r="B123" s="28">
        <f>CONCATENATE("0x",DEC2HEX(A123,4))</f>
        <v/>
      </c>
      <c r="C123" s="133" t="n"/>
      <c r="D123" s="28" t="inlineStr">
        <is>
          <t>GPIO_IN_Byte_1</t>
        </is>
      </c>
      <c r="E123" s="30" t="inlineStr">
        <is>
          <t>gpio_in_1</t>
        </is>
      </c>
      <c r="F123" s="135" t="n"/>
      <c r="G123" s="135" t="n"/>
      <c r="H123" s="135" t="n"/>
      <c r="I123" s="135" t="n"/>
      <c r="J123" s="135" t="n"/>
      <c r="K123" s="135" t="n"/>
      <c r="L123" s="132" t="n"/>
      <c r="M123" t="inlineStr">
        <is>
          <t>0x00</t>
        </is>
      </c>
    </row>
    <row r="124">
      <c r="A124" s="28" t="n">
        <v>122</v>
      </c>
      <c r="B124" s="28">
        <f>CONCATENATE("0x",DEC2HEX(A124,4))</f>
        <v/>
      </c>
      <c r="C124" s="133" t="n"/>
      <c r="D124" s="28" t="inlineStr">
        <is>
          <t>GPIO_IN_Byte_2</t>
        </is>
      </c>
      <c r="E124" s="30" t="inlineStr">
        <is>
          <t>gpio_in_2</t>
        </is>
      </c>
      <c r="F124" s="135" t="n"/>
      <c r="G124" s="135" t="n"/>
      <c r="H124" s="135" t="n"/>
      <c r="I124" s="135" t="n"/>
      <c r="J124" s="135" t="n"/>
      <c r="K124" s="135" t="n"/>
      <c r="L124" s="132" t="n"/>
      <c r="M124" t="inlineStr">
        <is>
          <t>0x00</t>
        </is>
      </c>
    </row>
    <row r="125">
      <c r="A125" s="28" t="n">
        <v>123</v>
      </c>
      <c r="B125" s="28">
        <f>CONCATENATE("0x",DEC2HEX(A125,4))</f>
        <v/>
      </c>
      <c r="C125" s="134" t="n"/>
      <c r="D125" s="28" t="inlineStr">
        <is>
          <t>GPIO_IN_Byte_3</t>
        </is>
      </c>
      <c r="E125" s="30" t="inlineStr">
        <is>
          <t>gpio_in_3</t>
        </is>
      </c>
      <c r="F125" s="135" t="n"/>
      <c r="G125" s="135" t="n"/>
      <c r="H125" s="135" t="n"/>
      <c r="I125" s="135" t="n"/>
      <c r="J125" s="135" t="n"/>
      <c r="K125" s="135" t="n"/>
      <c r="L125" s="132" t="n"/>
      <c r="M125" t="inlineStr">
        <is>
          <t>0x00</t>
        </is>
      </c>
    </row>
    <row r="126">
      <c r="A126" s="28" t="n">
        <v>124</v>
      </c>
      <c r="B126" s="28">
        <f>CONCATENATE("0x",DEC2HEX(A126,4))</f>
        <v/>
      </c>
      <c r="C126" s="28" t="inlineStr">
        <is>
          <t>GPIO_IN_WADDR_1</t>
        </is>
      </c>
      <c r="D126" s="28" t="inlineStr">
        <is>
          <t>GPIO_IN_Byte_4</t>
        </is>
      </c>
      <c r="E126" s="58" t="n"/>
      <c r="F126" s="58" t="n"/>
      <c r="G126" s="58" t="n"/>
      <c r="H126" s="58" t="n"/>
      <c r="I126" s="30" t="inlineStr">
        <is>
          <t>gpio_in_4</t>
        </is>
      </c>
      <c r="J126" s="135" t="n"/>
      <c r="K126" s="135" t="n"/>
      <c r="L126" s="132" t="n"/>
      <c r="M126" t="inlineStr">
        <is>
          <t>0x00</t>
        </is>
      </c>
    </row>
    <row r="127">
      <c r="A127" s="28" t="n">
        <v>125</v>
      </c>
      <c r="B127" s="28">
        <f>CONCATENATE("0x",DEC2HEX(A127,4))</f>
        <v/>
      </c>
      <c r="C127" s="133" t="n"/>
      <c r="D127" s="28" t="inlineStr">
        <is>
          <t>GPIO_IN_Byte_5</t>
        </is>
      </c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t="inlineStr">
        <is>
          <t>0x00</t>
        </is>
      </c>
    </row>
    <row r="128">
      <c r="A128" s="28" t="n">
        <v>126</v>
      </c>
      <c r="B128" s="28">
        <f>CONCATENATE("0x",DEC2HEX(A128,4))</f>
        <v/>
      </c>
      <c r="C128" s="133" t="n"/>
      <c r="D128" s="28" t="inlineStr">
        <is>
          <t>GPIO_IN_Byte_6</t>
        </is>
      </c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t="inlineStr">
        <is>
          <t>0x00</t>
        </is>
      </c>
    </row>
    <row r="129">
      <c r="A129" s="28" t="n">
        <v>127</v>
      </c>
      <c r="B129" s="28">
        <f>CONCATENATE("0x",DEC2HEX(A129,4))</f>
        <v/>
      </c>
      <c r="C129" s="134" t="n"/>
      <c r="D129" s="28" t="inlineStr">
        <is>
          <t>GPIO_IN_Byte_7</t>
        </is>
      </c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t="inlineStr">
        <is>
          <t>0x00</t>
        </is>
      </c>
    </row>
    <row r="130">
      <c r="A130" s="28" t="n">
        <v>128</v>
      </c>
      <c r="B130" s="28">
        <f>CONCATENATE("0x",DEC2HEX(A130,4))</f>
        <v/>
      </c>
      <c r="C130" s="28" t="inlineStr">
        <is>
          <t>GPIO_PS_WADDR_0</t>
        </is>
      </c>
      <c r="D130" s="28" t="inlineStr">
        <is>
          <t>GPIO_PS_Byte_0</t>
        </is>
      </c>
      <c r="E130" s="30" t="inlineStr">
        <is>
          <t>gpio_ps_0</t>
        </is>
      </c>
      <c r="F130" s="135" t="n"/>
      <c r="G130" s="135" t="n"/>
      <c r="H130" s="135" t="n"/>
      <c r="I130" s="135" t="n"/>
      <c r="J130" s="135" t="n"/>
      <c r="K130" s="135" t="n"/>
      <c r="L130" s="132" t="n"/>
      <c r="M130" t="inlineStr">
        <is>
          <t>0x00</t>
        </is>
      </c>
    </row>
    <row r="131">
      <c r="A131" s="28" t="n">
        <v>129</v>
      </c>
      <c r="B131" s="28">
        <f>CONCATENATE("0x",DEC2HEX(A131,4))</f>
        <v/>
      </c>
      <c r="C131" s="133" t="n"/>
      <c r="D131" s="28" t="inlineStr">
        <is>
          <t>GPIO_PS_Byte_1</t>
        </is>
      </c>
      <c r="E131" s="30" t="inlineStr">
        <is>
          <t>gpio_ps_1[0x40]</t>
        </is>
      </c>
      <c r="F131" s="135" t="n"/>
      <c r="G131" s="135" t="n"/>
      <c r="H131" s="135" t="n"/>
      <c r="I131" s="135" t="n"/>
      <c r="J131" s="135" t="n"/>
      <c r="K131" s="135" t="n"/>
      <c r="L131" s="132" t="n"/>
      <c r="M131" t="inlineStr">
        <is>
          <t>0x40</t>
        </is>
      </c>
    </row>
    <row r="132">
      <c r="A132" s="28" t="n">
        <v>130</v>
      </c>
      <c r="B132" s="28">
        <f>CONCATENATE("0x",DEC2HEX(A132,4))</f>
        <v/>
      </c>
      <c r="C132" s="133" t="n"/>
      <c r="D132" s="28" t="inlineStr">
        <is>
          <t>GPIO_PS_Byte_2</t>
        </is>
      </c>
      <c r="E132" s="30" t="inlineStr">
        <is>
          <t>gpio_ps_2</t>
        </is>
      </c>
      <c r="F132" s="135" t="n"/>
      <c r="G132" s="135" t="n"/>
      <c r="H132" s="135" t="n"/>
      <c r="I132" s="135" t="n"/>
      <c r="J132" s="135" t="n"/>
      <c r="K132" s="135" t="n"/>
      <c r="L132" s="132" t="n"/>
      <c r="M132" t="inlineStr">
        <is>
          <t>0x00</t>
        </is>
      </c>
    </row>
    <row r="133">
      <c r="A133" s="28" t="n">
        <v>131</v>
      </c>
      <c r="B133" s="28">
        <f>CONCATENATE("0x",DEC2HEX(A133,4))</f>
        <v/>
      </c>
      <c r="C133" s="134" t="n"/>
      <c r="D133" s="28" t="inlineStr">
        <is>
          <t>GPIO_PS_Byte_3</t>
        </is>
      </c>
      <c r="E133" s="30" t="inlineStr">
        <is>
          <t>gpio_ps_3</t>
        </is>
      </c>
      <c r="F133" s="135" t="n"/>
      <c r="G133" s="135" t="n"/>
      <c r="H133" s="135" t="n"/>
      <c r="I133" s="135" t="n"/>
      <c r="J133" s="135" t="n"/>
      <c r="K133" s="135" t="n"/>
      <c r="L133" s="132" t="n"/>
      <c r="M133" t="inlineStr">
        <is>
          <t>0x00</t>
        </is>
      </c>
    </row>
    <row r="134">
      <c r="A134" s="28" t="n">
        <v>132</v>
      </c>
      <c r="B134" s="28">
        <f>CONCATENATE("0x",DEC2HEX(A134,4))</f>
        <v/>
      </c>
      <c r="C134" s="28" t="inlineStr">
        <is>
          <t>GPIO_PS_WADDR_1</t>
        </is>
      </c>
      <c r="D134" s="28" t="inlineStr">
        <is>
          <t>GPIO_PS_Byte_4</t>
        </is>
      </c>
      <c r="E134" s="58" t="n"/>
      <c r="F134" s="58" t="n"/>
      <c r="G134" s="58" t="n"/>
      <c r="H134" s="58" t="n"/>
      <c r="I134" s="30" t="inlineStr">
        <is>
          <t>gpio_ps_4</t>
        </is>
      </c>
      <c r="J134" s="135" t="n"/>
      <c r="K134" s="135" t="n"/>
      <c r="L134" s="132" t="n"/>
      <c r="M134" t="inlineStr">
        <is>
          <t>0x00</t>
        </is>
      </c>
    </row>
    <row r="135">
      <c r="A135" s="28" t="n">
        <v>133</v>
      </c>
      <c r="B135" s="28">
        <f>CONCATENATE("0x",DEC2HEX(A135,4))</f>
        <v/>
      </c>
      <c r="C135" s="133" t="n"/>
      <c r="D135" s="28" t="inlineStr">
        <is>
          <t>GPIO_PS_Byte_5</t>
        </is>
      </c>
      <c r="E135" s="58" t="n"/>
      <c r="F135" s="58" t="n"/>
      <c r="G135" s="58" t="n"/>
      <c r="H135" s="58" t="n"/>
      <c r="I135" s="30" t="n"/>
      <c r="J135" s="30" t="n"/>
      <c r="K135" s="30" t="n"/>
      <c r="L135" s="30" t="n"/>
      <c r="M135" t="inlineStr">
        <is>
          <t>0x00</t>
        </is>
      </c>
    </row>
    <row r="136">
      <c r="A136" s="28" t="n">
        <v>134</v>
      </c>
      <c r="B136" s="28">
        <f>CONCATENATE("0x",DEC2HEX(A136,4))</f>
        <v/>
      </c>
      <c r="C136" s="133" t="n"/>
      <c r="D136" s="28" t="inlineStr">
        <is>
          <t>GPIO_PS_Byte_6</t>
        </is>
      </c>
      <c r="E136" s="58" t="n"/>
      <c r="F136" s="58" t="n"/>
      <c r="G136" s="58" t="n"/>
      <c r="H136" s="58" t="n"/>
      <c r="I136" s="30" t="n"/>
      <c r="J136" s="30" t="n"/>
      <c r="K136" s="30" t="n"/>
      <c r="L136" s="30" t="n"/>
      <c r="M136" t="inlineStr">
        <is>
          <t>0x00</t>
        </is>
      </c>
    </row>
    <row r="137">
      <c r="A137" s="28" t="n">
        <v>135</v>
      </c>
      <c r="B137" s="28">
        <f>CONCATENATE("0x",DEC2HEX(A137,4))</f>
        <v/>
      </c>
      <c r="C137" s="134" t="n"/>
      <c r="D137" s="28" t="inlineStr">
        <is>
          <t>GPIO_PS_Byte_7</t>
        </is>
      </c>
      <c r="E137" s="58" t="n"/>
      <c r="F137" s="58" t="n"/>
      <c r="G137" s="58" t="n"/>
      <c r="H137" s="58" t="n"/>
      <c r="I137" s="30" t="n"/>
      <c r="J137" s="30" t="n"/>
      <c r="K137" s="30" t="n"/>
      <c r="L137" s="30" t="n"/>
      <c r="M137" t="inlineStr">
        <is>
          <t>0x00</t>
        </is>
      </c>
    </row>
    <row r="138">
      <c r="A138" s="28" t="n">
        <v>136</v>
      </c>
      <c r="B138" s="28">
        <f>CONCATENATE("0x",DEC2HEX(A138,4))</f>
        <v/>
      </c>
      <c r="C138" s="28" t="inlineStr">
        <is>
          <t>GPIO_PE_WADDR_0</t>
        </is>
      </c>
      <c r="D138" s="28" t="inlineStr">
        <is>
          <t>GPIO_PE_Byte_0</t>
        </is>
      </c>
      <c r="E138" s="30" t="inlineStr">
        <is>
          <t>gpio_pe_0</t>
        </is>
      </c>
      <c r="F138" s="135" t="n"/>
      <c r="G138" s="135" t="n"/>
      <c r="H138" s="135" t="n"/>
      <c r="I138" s="135" t="n"/>
      <c r="J138" s="135" t="n"/>
      <c r="K138" s="135" t="n"/>
      <c r="L138" s="132" t="n"/>
      <c r="M138" t="inlineStr">
        <is>
          <t>0x00</t>
        </is>
      </c>
    </row>
    <row r="139">
      <c r="A139" s="28" t="n">
        <v>137</v>
      </c>
      <c r="B139" s="28">
        <f>CONCATENATE("0x",DEC2HEX(A139,4))</f>
        <v/>
      </c>
      <c r="C139" s="133" t="n"/>
      <c r="D139" s="28" t="inlineStr">
        <is>
          <t>GPIO_PE_Byte_1</t>
        </is>
      </c>
      <c r="E139" s="30" t="inlineStr">
        <is>
          <t>gpio_pe_1[0x40]</t>
        </is>
      </c>
      <c r="F139" s="135" t="n"/>
      <c r="G139" s="135" t="n"/>
      <c r="H139" s="135" t="n"/>
      <c r="I139" s="135" t="n"/>
      <c r="J139" s="135" t="n"/>
      <c r="K139" s="135" t="n"/>
      <c r="L139" s="132" t="n"/>
      <c r="M139" t="inlineStr">
        <is>
          <t>0x40</t>
        </is>
      </c>
    </row>
    <row r="140">
      <c r="A140" s="28" t="n">
        <v>138</v>
      </c>
      <c r="B140" s="28">
        <f>CONCATENATE("0x",DEC2HEX(A140,4))</f>
        <v/>
      </c>
      <c r="C140" s="133" t="n"/>
      <c r="D140" s="28" t="inlineStr">
        <is>
          <t>GPIO_PE_Byte_2</t>
        </is>
      </c>
      <c r="E140" s="30" t="inlineStr">
        <is>
          <t>gpio_pe_2[0x2]</t>
        </is>
      </c>
      <c r="F140" s="135" t="n"/>
      <c r="G140" s="135" t="n"/>
      <c r="H140" s="135" t="n"/>
      <c r="I140" s="135" t="n"/>
      <c r="J140" s="135" t="n"/>
      <c r="K140" s="135" t="n"/>
      <c r="L140" s="132" t="n"/>
      <c r="M140" t="inlineStr">
        <is>
          <t>0x02</t>
        </is>
      </c>
    </row>
    <row r="141">
      <c r="A141" s="28" t="n">
        <v>139</v>
      </c>
      <c r="B141" s="28">
        <f>CONCATENATE("0x",DEC2HEX(A141,4))</f>
        <v/>
      </c>
      <c r="C141" s="134" t="n"/>
      <c r="D141" s="28" t="inlineStr">
        <is>
          <t>GPIO_PE_Byte_3</t>
        </is>
      </c>
      <c r="E141" s="30" t="inlineStr">
        <is>
          <t>gpio_pe_3</t>
        </is>
      </c>
      <c r="F141" s="135" t="n"/>
      <c r="G141" s="135" t="n"/>
      <c r="H141" s="135" t="n"/>
      <c r="I141" s="135" t="n"/>
      <c r="J141" s="135" t="n"/>
      <c r="K141" s="135" t="n"/>
      <c r="L141" s="132" t="n"/>
      <c r="M141" t="inlineStr">
        <is>
          <t>0x00</t>
        </is>
      </c>
    </row>
    <row r="142">
      <c r="A142" s="28" t="n">
        <v>140</v>
      </c>
      <c r="B142" s="28">
        <f>CONCATENATE("0x",DEC2HEX(A142,4))</f>
        <v/>
      </c>
      <c r="C142" s="28" t="inlineStr">
        <is>
          <t>GPIO_PE_WADDR_1</t>
        </is>
      </c>
      <c r="D142" s="28" t="inlineStr">
        <is>
          <t>GPIO_PE_Byte_4</t>
        </is>
      </c>
      <c r="E142" s="58" t="n"/>
      <c r="F142" s="58" t="n"/>
      <c r="G142" s="58" t="n"/>
      <c r="H142" s="58" t="n"/>
      <c r="I142" s="30" t="inlineStr">
        <is>
          <t>gpio_pe_4</t>
        </is>
      </c>
      <c r="J142" s="135" t="n"/>
      <c r="K142" s="135" t="n"/>
      <c r="L142" s="132" t="n"/>
      <c r="M142" t="inlineStr">
        <is>
          <t>0x00</t>
        </is>
      </c>
    </row>
    <row r="143">
      <c r="A143" s="28" t="n">
        <v>141</v>
      </c>
      <c r="B143" s="28">
        <f>CONCATENATE("0x",DEC2HEX(A143,4))</f>
        <v/>
      </c>
      <c r="C143" s="133" t="n"/>
      <c r="D143" s="28" t="inlineStr">
        <is>
          <t>GPIO_PE_Byte_5</t>
        </is>
      </c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t="inlineStr">
        <is>
          <t>0x00</t>
        </is>
      </c>
    </row>
    <row r="144">
      <c r="A144" s="28" t="n">
        <v>142</v>
      </c>
      <c r="B144" s="28">
        <f>CONCATENATE("0x",DEC2HEX(A144,4))</f>
        <v/>
      </c>
      <c r="C144" s="133" t="n"/>
      <c r="D144" s="28" t="inlineStr">
        <is>
          <t>GPIO_PE_Byte_6</t>
        </is>
      </c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t="inlineStr">
        <is>
          <t>0x00</t>
        </is>
      </c>
    </row>
    <row r="145">
      <c r="A145" s="28" t="n">
        <v>143</v>
      </c>
      <c r="B145" s="28">
        <f>CONCATENATE("0x",DEC2HEX(A145,4))</f>
        <v/>
      </c>
      <c r="C145" s="134" t="n"/>
      <c r="D145" s="28" t="inlineStr">
        <is>
          <t>GPIO_PE_Byte_7</t>
        </is>
      </c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t="inlineStr">
        <is>
          <t>0x00</t>
        </is>
      </c>
    </row>
    <row r="146">
      <c r="A146" s="28" t="n">
        <v>144</v>
      </c>
      <c r="B146" s="28">
        <f>CONCATENATE("0x",DEC2HEX(A146,4))</f>
        <v/>
      </c>
      <c r="C146" s="28" t="inlineStr">
        <is>
          <t>GPIO_IS_WADDR_0</t>
        </is>
      </c>
      <c r="D146" s="28" t="inlineStr">
        <is>
          <t>GPIO_IS_Byte_0</t>
        </is>
      </c>
      <c r="E146" s="30" t="inlineStr">
        <is>
          <t>gpio_is_0</t>
        </is>
      </c>
      <c r="F146" s="135" t="n"/>
      <c r="G146" s="135" t="n"/>
      <c r="H146" s="135" t="n"/>
      <c r="I146" s="135" t="n"/>
      <c r="J146" s="135" t="n"/>
      <c r="K146" s="135" t="n"/>
      <c r="L146" s="132" t="n"/>
      <c r="M146" t="inlineStr">
        <is>
          <t>0x00</t>
        </is>
      </c>
    </row>
    <row r="147">
      <c r="A147" s="28" t="n">
        <v>145</v>
      </c>
      <c r="B147" s="28">
        <f>CONCATENATE("0x",DEC2HEX(A147,4))</f>
        <v/>
      </c>
      <c r="C147" s="133" t="n"/>
      <c r="D147" s="28" t="inlineStr">
        <is>
          <t>GPIO_IS_Byte_1</t>
        </is>
      </c>
      <c r="E147" s="30" t="inlineStr">
        <is>
          <t>gpio_is_1</t>
        </is>
      </c>
      <c r="F147" s="135" t="n"/>
      <c r="G147" s="135" t="n"/>
      <c r="H147" s="135" t="n"/>
      <c r="I147" s="135" t="n"/>
      <c r="J147" s="135" t="n"/>
      <c r="K147" s="135" t="n"/>
      <c r="L147" s="132" t="n"/>
      <c r="M147" t="inlineStr">
        <is>
          <t>0x00</t>
        </is>
      </c>
    </row>
    <row r="148">
      <c r="A148" s="28" t="n">
        <v>146</v>
      </c>
      <c r="B148" s="28">
        <f>CONCATENATE("0x",DEC2HEX(A148,4))</f>
        <v/>
      </c>
      <c r="C148" s="133" t="n"/>
      <c r="D148" s="28" t="inlineStr">
        <is>
          <t>GPIO_IS_Byte_2</t>
        </is>
      </c>
      <c r="E148" s="30" t="inlineStr">
        <is>
          <t>gpio_is_2</t>
        </is>
      </c>
      <c r="F148" s="135" t="n"/>
      <c r="G148" s="135" t="n"/>
      <c r="H148" s="135" t="n"/>
      <c r="I148" s="135" t="n"/>
      <c r="J148" s="135" t="n"/>
      <c r="K148" s="135" t="n"/>
      <c r="L148" s="132" t="n"/>
      <c r="M148" t="inlineStr">
        <is>
          <t>0x00</t>
        </is>
      </c>
    </row>
    <row r="149">
      <c r="A149" s="28" t="n">
        <v>147</v>
      </c>
      <c r="B149" s="28">
        <f>CONCATENATE("0x",DEC2HEX(A149,4))</f>
        <v/>
      </c>
      <c r="C149" s="134" t="n"/>
      <c r="D149" s="28" t="inlineStr">
        <is>
          <t>GPIO_IS_Byte_3</t>
        </is>
      </c>
      <c r="E149" s="30" t="inlineStr">
        <is>
          <t>gpio_is_3</t>
        </is>
      </c>
      <c r="F149" s="135" t="n"/>
      <c r="G149" s="135" t="n"/>
      <c r="H149" s="135" t="n"/>
      <c r="I149" s="135" t="n"/>
      <c r="J149" s="135" t="n"/>
      <c r="K149" s="135" t="n"/>
      <c r="L149" s="132" t="n"/>
      <c r="M149" t="inlineStr">
        <is>
          <t>0x00</t>
        </is>
      </c>
    </row>
    <row r="150">
      <c r="A150" s="28" t="n">
        <v>148</v>
      </c>
      <c r="B150" s="28">
        <f>CONCATENATE("0x",DEC2HEX(A150,4))</f>
        <v/>
      </c>
      <c r="C150" s="28" t="inlineStr">
        <is>
          <t>GPIO_IS_WADDR_1</t>
        </is>
      </c>
      <c r="D150" s="28" t="inlineStr">
        <is>
          <t>GPIO_IS_Byte_4</t>
        </is>
      </c>
      <c r="E150" s="58" t="n"/>
      <c r="F150" s="58" t="n"/>
      <c r="G150" s="58" t="n"/>
      <c r="H150" s="58" t="n"/>
      <c r="I150" s="30" t="inlineStr">
        <is>
          <t>gpio_is_4</t>
        </is>
      </c>
      <c r="J150" s="135" t="n"/>
      <c r="K150" s="135" t="n"/>
      <c r="L150" s="132" t="n"/>
      <c r="M150" t="inlineStr">
        <is>
          <t>0x00</t>
        </is>
      </c>
    </row>
    <row r="151">
      <c r="A151" s="28" t="n">
        <v>149</v>
      </c>
      <c r="B151" s="28">
        <f>CONCATENATE("0x",DEC2HEX(A151,4))</f>
        <v/>
      </c>
      <c r="C151" s="133" t="n"/>
      <c r="D151" s="28" t="inlineStr">
        <is>
          <t>GPIO_IS_Byte_5</t>
        </is>
      </c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t="inlineStr">
        <is>
          <t>0x00</t>
        </is>
      </c>
    </row>
    <row r="152">
      <c r="A152" s="28" t="n">
        <v>150</v>
      </c>
      <c r="B152" s="28">
        <f>CONCATENATE("0x",DEC2HEX(A152,4))</f>
        <v/>
      </c>
      <c r="C152" s="133" t="n"/>
      <c r="D152" s="28" t="inlineStr">
        <is>
          <t>GPIO_IS_Byte_6</t>
        </is>
      </c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t="inlineStr">
        <is>
          <t>0x00</t>
        </is>
      </c>
    </row>
    <row r="153">
      <c r="A153" s="28" t="n">
        <v>151</v>
      </c>
      <c r="B153" s="28">
        <f>CONCATENATE("0x",DEC2HEX(A153,4))</f>
        <v/>
      </c>
      <c r="C153" s="134" t="n"/>
      <c r="D153" s="28" t="inlineStr">
        <is>
          <t>GPIO_IS_Byte_7</t>
        </is>
      </c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t="inlineStr">
        <is>
          <t>0x00</t>
        </is>
      </c>
    </row>
    <row r="154">
      <c r="A154" s="28" t="n">
        <v>152</v>
      </c>
      <c r="B154" s="28">
        <f>CONCATENATE("0x",DEC2HEX(A154,4))</f>
        <v/>
      </c>
      <c r="C154" s="28" t="inlineStr">
        <is>
          <t>GPIO_DR_WADDR_0</t>
        </is>
      </c>
      <c r="D154" s="28" t="inlineStr">
        <is>
          <t>GPIO_DR_Byte_0</t>
        </is>
      </c>
      <c r="E154" s="30" t="inlineStr">
        <is>
          <t>gpio_dr_0[0x55]</t>
        </is>
      </c>
      <c r="F154" s="135" t="n"/>
      <c r="G154" s="135" t="n"/>
      <c r="H154" s="135" t="n"/>
      <c r="I154" s="135" t="n"/>
      <c r="J154" s="135" t="n"/>
      <c r="K154" s="135" t="n"/>
      <c r="L154" s="132" t="n"/>
      <c r="M154" t="inlineStr">
        <is>
          <t>0x55</t>
        </is>
      </c>
    </row>
    <row r="155">
      <c r="A155" s="28" t="n">
        <v>153</v>
      </c>
      <c r="B155" s="28">
        <f>CONCATENATE("0x",DEC2HEX(A155,4))</f>
        <v/>
      </c>
      <c r="C155" s="133" t="n"/>
      <c r="D155" s="28" t="inlineStr">
        <is>
          <t>GPIO_DR_Byte_1</t>
        </is>
      </c>
      <c r="E155" s="30" t="inlineStr">
        <is>
          <t>gpio_dr_1[0x55]</t>
        </is>
      </c>
      <c r="F155" s="135" t="n"/>
      <c r="G155" s="135" t="n"/>
      <c r="H155" s="135" t="n"/>
      <c r="I155" s="135" t="n"/>
      <c r="J155" s="135" t="n"/>
      <c r="K155" s="135" t="n"/>
      <c r="L155" s="132" t="n"/>
      <c r="M155" t="inlineStr">
        <is>
          <t>0x55</t>
        </is>
      </c>
    </row>
    <row r="156">
      <c r="A156" s="28" t="n">
        <v>154</v>
      </c>
      <c r="B156" s="28">
        <f>CONCATENATE("0x",DEC2HEX(A156,4))</f>
        <v/>
      </c>
      <c r="C156" s="133" t="n"/>
      <c r="D156" s="28" t="inlineStr">
        <is>
          <t>GPIO_DR_Byte_2</t>
        </is>
      </c>
      <c r="E156" s="30" t="inlineStr">
        <is>
          <t>gpio_dr_2[0x55]</t>
        </is>
      </c>
      <c r="F156" s="135" t="n"/>
      <c r="G156" s="135" t="n"/>
      <c r="H156" s="135" t="n"/>
      <c r="I156" s="135" t="n"/>
      <c r="J156" s="135" t="n"/>
      <c r="K156" s="135" t="n"/>
      <c r="L156" s="132" t="n"/>
      <c r="M156" t="inlineStr">
        <is>
          <t>0x55</t>
        </is>
      </c>
    </row>
    <row r="157">
      <c r="A157" s="28" t="n">
        <v>155</v>
      </c>
      <c r="B157" s="28">
        <f>CONCATENATE("0x",DEC2HEX(A157,4))</f>
        <v/>
      </c>
      <c r="C157" s="134" t="n"/>
      <c r="D157" s="28" t="inlineStr">
        <is>
          <t>GPIO_DR_Byte_3</t>
        </is>
      </c>
      <c r="E157" s="30" t="inlineStr">
        <is>
          <t>gpio_dr_3[0x55]</t>
        </is>
      </c>
      <c r="F157" s="135" t="n"/>
      <c r="G157" s="135" t="n"/>
      <c r="H157" s="135" t="n"/>
      <c r="I157" s="135" t="n"/>
      <c r="J157" s="135" t="n"/>
      <c r="K157" s="135" t="n"/>
      <c r="L157" s="132" t="n"/>
      <c r="M157" t="inlineStr">
        <is>
          <t>0x55</t>
        </is>
      </c>
    </row>
    <row r="158">
      <c r="A158" s="28" t="n">
        <v>156</v>
      </c>
      <c r="B158" s="28">
        <f>CONCATENATE("0x",DEC2HEX(A158,4))</f>
        <v/>
      </c>
      <c r="C158" s="28" t="inlineStr">
        <is>
          <t>GPIO_DR_WADDR_1</t>
        </is>
      </c>
      <c r="D158" s="28" t="inlineStr">
        <is>
          <t>GPIO_DR_Byte_4</t>
        </is>
      </c>
      <c r="E158" s="30" t="inlineStr">
        <is>
          <t>gpio_dr_4[0x55]</t>
        </is>
      </c>
      <c r="F158" s="135" t="n"/>
      <c r="G158" s="135" t="n"/>
      <c r="H158" s="135" t="n"/>
      <c r="I158" s="135" t="n"/>
      <c r="J158" s="135" t="n"/>
      <c r="K158" s="135" t="n"/>
      <c r="L158" s="132" t="n"/>
      <c r="M158" t="inlineStr">
        <is>
          <t>0x55</t>
        </is>
      </c>
    </row>
    <row r="159">
      <c r="A159" s="28" t="n">
        <v>157</v>
      </c>
      <c r="B159" s="28">
        <f>CONCATENATE("0x",DEC2HEX(A159,4))</f>
        <v/>
      </c>
      <c r="C159" s="133" t="n"/>
      <c r="D159" s="28" t="inlineStr">
        <is>
          <t>GPIO_DR_Byte_5</t>
        </is>
      </c>
      <c r="E159" s="30" t="inlineStr">
        <is>
          <t>gpio_dr_5[0x55]</t>
        </is>
      </c>
      <c r="F159" s="135" t="n"/>
      <c r="G159" s="135" t="n"/>
      <c r="H159" s="135" t="n"/>
      <c r="I159" s="135" t="n"/>
      <c r="J159" s="135" t="n"/>
      <c r="K159" s="135" t="n"/>
      <c r="L159" s="132" t="n"/>
      <c r="M159" t="inlineStr">
        <is>
          <t>0x55</t>
        </is>
      </c>
    </row>
    <row r="160">
      <c r="A160" s="28" t="n">
        <v>158</v>
      </c>
      <c r="B160" s="28">
        <f>CONCATENATE("0x",DEC2HEX(A160,4))</f>
        <v/>
      </c>
      <c r="C160" s="133" t="n"/>
      <c r="D160" s="28" t="inlineStr">
        <is>
          <t>GPIO_DR_Byte_6</t>
        </is>
      </c>
      <c r="E160" s="30" t="inlineStr">
        <is>
          <t>gpio_dr_6[0x55]</t>
        </is>
      </c>
      <c r="F160" s="135" t="n"/>
      <c r="G160" s="135" t="n"/>
      <c r="H160" s="135" t="n"/>
      <c r="I160" s="135" t="n"/>
      <c r="J160" s="135" t="n"/>
      <c r="K160" s="135" t="n"/>
      <c r="L160" s="132" t="n"/>
      <c r="M160" t="inlineStr">
        <is>
          <t>0x55</t>
        </is>
      </c>
    </row>
    <row r="161">
      <c r="A161" s="28" t="n">
        <v>159</v>
      </c>
      <c r="B161" s="28">
        <f>CONCATENATE("0x",DEC2HEX(A161,4))</f>
        <v/>
      </c>
      <c r="C161" s="134" t="n"/>
      <c r="D161" s="28" t="inlineStr">
        <is>
          <t>GPIO_DR_Byte_7</t>
        </is>
      </c>
      <c r="E161" s="30" t="inlineStr">
        <is>
          <t>gpio_dr_7[0x55]</t>
        </is>
      </c>
      <c r="F161" s="135" t="n"/>
      <c r="G161" s="135" t="n"/>
      <c r="H161" s="135" t="n"/>
      <c r="I161" s="135" t="n"/>
      <c r="J161" s="135" t="n"/>
      <c r="K161" s="135" t="n"/>
      <c r="L161" s="132" t="n"/>
      <c r="M161" t="inlineStr">
        <is>
          <t>0x55</t>
        </is>
      </c>
    </row>
    <row r="162">
      <c r="A162" s="28" t="n">
        <v>160</v>
      </c>
      <c r="B162" s="28">
        <f>CONCATENATE("0x",DEC2HEX(A162,4))</f>
        <v/>
      </c>
      <c r="C162" s="28" t="inlineStr">
        <is>
          <t>GPIO_DR_WADDR_2</t>
        </is>
      </c>
      <c r="D162" s="28" t="inlineStr">
        <is>
          <t>GPIO_DR_Byte_8</t>
        </is>
      </c>
      <c r="E162" s="30" t="inlineStr">
        <is>
          <t>gpio_dr_8[0x55]</t>
        </is>
      </c>
      <c r="F162" s="135" t="n"/>
      <c r="G162" s="135" t="n"/>
      <c r="H162" s="135" t="n"/>
      <c r="I162" s="135" t="n"/>
      <c r="J162" s="135" t="n"/>
      <c r="K162" s="135" t="n"/>
      <c r="L162" s="132" t="n"/>
      <c r="M162" t="inlineStr">
        <is>
          <t>0x55</t>
        </is>
      </c>
    </row>
    <row r="163">
      <c r="A163" s="28" t="n">
        <v>161</v>
      </c>
      <c r="B163" s="28">
        <f>CONCATENATE("0x",DEC2HEX(A163,4))</f>
        <v/>
      </c>
      <c r="C163" s="133" t="n"/>
      <c r="D163" s="28" t="inlineStr">
        <is>
          <t>GPIO_DR_Byte_9</t>
        </is>
      </c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t="inlineStr">
        <is>
          <t>0x00</t>
        </is>
      </c>
    </row>
    <row r="164">
      <c r="A164" s="28" t="n">
        <v>162</v>
      </c>
      <c r="B164" s="28">
        <f>CONCATENATE("0x",DEC2HEX(A164,4))</f>
        <v/>
      </c>
      <c r="C164" s="133" t="n"/>
      <c r="D164" s="28" t="inlineStr">
        <is>
          <t>GPIO_DR_Byte_10</t>
        </is>
      </c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t="inlineStr">
        <is>
          <t>0x00</t>
        </is>
      </c>
    </row>
    <row r="165">
      <c r="A165" s="28" t="n">
        <v>163</v>
      </c>
      <c r="B165" s="28">
        <f>CONCATENATE("0x",DEC2HEX(A165,4))</f>
        <v/>
      </c>
      <c r="C165" s="134" t="n"/>
      <c r="D165" s="28" t="inlineStr">
        <is>
          <t>GPIO_DR_Byte_11</t>
        </is>
      </c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t="inlineStr">
        <is>
          <t>0x00</t>
        </is>
      </c>
    </row>
    <row r="166">
      <c r="A166" s="28" t="n">
        <v>164</v>
      </c>
      <c r="B166" s="28">
        <f>CONCATENATE("0x",DEC2HEX(A166,4))</f>
        <v/>
      </c>
      <c r="C166" s="28" t="inlineStr">
        <is>
          <t>PAD_RING_WADDR_0</t>
        </is>
      </c>
      <c r="D166" s="28" t="inlineStr">
        <is>
          <t>PAD_RING_Byte_0</t>
        </is>
      </c>
      <c r="E166" s="28" t="inlineStr">
        <is>
          <t>pad_ring_inst_REG_XTAL32K[0x34]</t>
        </is>
      </c>
      <c r="F166" s="135" t="n"/>
      <c r="G166" s="135" t="n"/>
      <c r="H166" s="135" t="n"/>
      <c r="I166" s="135" t="n"/>
      <c r="J166" s="135" t="n"/>
      <c r="K166" s="135" t="n"/>
      <c r="L166" s="132" t="n"/>
      <c r="M166" t="inlineStr">
        <is>
          <t>0x34</t>
        </is>
      </c>
    </row>
    <row r="167">
      <c r="A167" s="28" t="n">
        <v>165</v>
      </c>
      <c r="B167" s="28">
        <f>CONCATENATE("0x",DEC2HEX(A167,4))</f>
        <v/>
      </c>
      <c r="C167" s="133" t="n"/>
      <c r="D167" s="28" t="inlineStr">
        <is>
          <t>PAD_RING_Byte_1</t>
        </is>
      </c>
      <c r="E167" s="58" t="n"/>
      <c r="F167" s="58" t="n"/>
      <c r="G167" s="58" t="n"/>
      <c r="H167" s="58" t="n"/>
      <c r="I167" s="58" t="n"/>
      <c r="J167" s="58" t="n"/>
      <c r="K167" s="28" t="inlineStr">
        <is>
          <t>pad_ring_inst_XTAL32K_BYP</t>
        </is>
      </c>
      <c r="L167" s="28" t="inlineStr">
        <is>
          <t>pad_ring_inst_XTAL32K_EN</t>
        </is>
      </c>
      <c r="M167" t="inlineStr">
        <is>
          <t>0x00</t>
        </is>
      </c>
    </row>
    <row r="168">
      <c r="A168" s="28" t="n">
        <v>166</v>
      </c>
      <c r="B168" s="28">
        <f>CONCATENATE("0x",DEC2HEX(A168,4))</f>
        <v/>
      </c>
      <c r="C168" s="133" t="n"/>
      <c r="D168" s="28" t="inlineStr">
        <is>
          <t>PAD_RING_Byte_2</t>
        </is>
      </c>
      <c r="E168" s="28" t="inlineStr">
        <is>
          <t>pad_ring_inst_REG_XTALMF[0x2A]</t>
        </is>
      </c>
      <c r="F168" s="135" t="n"/>
      <c r="G168" s="135" t="n"/>
      <c r="H168" s="135" t="n"/>
      <c r="I168" s="135" t="n"/>
      <c r="J168" s="135" t="n"/>
      <c r="K168" s="135" t="n"/>
      <c r="L168" s="132" t="n"/>
      <c r="M168" t="inlineStr">
        <is>
          <t>0x2A</t>
        </is>
      </c>
    </row>
    <row r="169">
      <c r="A169" s="28" t="n">
        <v>167</v>
      </c>
      <c r="B169" s="28">
        <f>CONCATENATE("0x",DEC2HEX(A169,4))</f>
        <v/>
      </c>
      <c r="C169" s="134" t="n"/>
      <c r="D169" s="28" t="inlineStr">
        <is>
          <t>PAD_RING_Byte_3</t>
        </is>
      </c>
      <c r="E169" s="58" t="n"/>
      <c r="F169" s="58" t="n"/>
      <c r="G169" s="58" t="n"/>
      <c r="H169" s="58" t="n"/>
      <c r="I169" s="58" t="n"/>
      <c r="J169" s="58" t="n"/>
      <c r="K169" s="28" t="inlineStr">
        <is>
          <t>pad_ring_inst_XTAL_BYP</t>
        </is>
      </c>
      <c r="L169" s="28" t="inlineStr">
        <is>
          <t>pad_ring_inst_XTAL_EN</t>
        </is>
      </c>
      <c r="M169" t="inlineStr">
        <is>
          <t>0x00</t>
        </is>
      </c>
    </row>
    <row r="170">
      <c r="A170" s="28" t="n">
        <v>168</v>
      </c>
      <c r="B170" s="28">
        <f>CONCATENATE("0x",DEC2HEX(A170,4))</f>
        <v/>
      </c>
      <c r="C170" s="28" t="inlineStr">
        <is>
          <t>PAD_RING_WADDR_1</t>
        </is>
      </c>
      <c r="D170" s="28" t="inlineStr">
        <is>
          <t>PAD_RING_Byte_4</t>
        </is>
      </c>
      <c r="E170" s="58" t="n"/>
      <c r="F170" s="58" t="n"/>
      <c r="G170" s="58" t="n"/>
      <c r="H170" s="58" t="n"/>
      <c r="I170" s="58" t="n"/>
      <c r="J170" s="28" t="inlineStr">
        <is>
          <t>pad_ring_inst_ext_rstn_en_c</t>
        </is>
      </c>
      <c r="K170" s="28" t="inlineStr">
        <is>
          <t>pad_ring_inst_ext_rstn_c</t>
        </is>
      </c>
      <c r="L170" s="28" t="inlineStr">
        <is>
          <t>pad_ring_inst_ext_ldo_en_c</t>
        </is>
      </c>
      <c r="M170" t="inlineStr">
        <is>
          <t>0x00</t>
        </is>
      </c>
    </row>
    <row r="171">
      <c r="A171" s="28" t="n">
        <v>169</v>
      </c>
      <c r="B171" s="28">
        <f>CONCATENATE("0x",DEC2HEX(A171,4))</f>
        <v/>
      </c>
      <c r="C171" s="133" t="n"/>
      <c r="D171" s="28" t="inlineStr">
        <is>
          <t>PAD_RING_Byte_5</t>
        </is>
      </c>
      <c r="E171" s="58" t="n"/>
      <c r="F171" s="58" t="n"/>
      <c r="G171" s="58" t="n"/>
      <c r="H171" s="58" t="n"/>
      <c r="I171" s="58" t="n"/>
      <c r="J171" s="58" t="n"/>
      <c r="K171" s="58" t="n"/>
      <c r="L171" s="30" t="inlineStr">
        <is>
          <t>spi_port_enable[0x1]</t>
        </is>
      </c>
      <c r="M171" t="inlineStr">
        <is>
          <t>0x01</t>
        </is>
      </c>
    </row>
    <row r="172">
      <c r="A172" s="28" t="n">
        <v>170</v>
      </c>
      <c r="B172" s="28">
        <f>CONCATENATE("0x",DEC2HEX(A172,4))</f>
        <v/>
      </c>
      <c r="C172" s="133" t="n"/>
      <c r="D172" s="28" t="inlineStr">
        <is>
          <t>PAD_RING_Byte_6</t>
        </is>
      </c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t="inlineStr">
        <is>
          <t>0x00</t>
        </is>
      </c>
    </row>
    <row r="173">
      <c r="A173" s="28" t="n">
        <v>171</v>
      </c>
      <c r="B173" s="28">
        <f>CONCATENATE("0x",DEC2HEX(A173,4))</f>
        <v/>
      </c>
      <c r="C173" s="134" t="n"/>
      <c r="D173" s="28" t="inlineStr">
        <is>
          <t>PAD_RING_Byte_7</t>
        </is>
      </c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t="inlineStr">
        <is>
          <t>0x00</t>
        </is>
      </c>
    </row>
    <row r="174">
      <c r="A174" s="28" t="n">
        <v>172</v>
      </c>
      <c r="B174" s="28">
        <f>CONCATENATE("0x",DEC2HEX(A174,4))</f>
        <v/>
      </c>
      <c r="C174" s="28" t="inlineStr">
        <is>
          <t>TEST_SEL_WADDR_0</t>
        </is>
      </c>
      <c r="D174" s="28" t="inlineStr">
        <is>
          <t>TEST_SEL_Byte_0</t>
        </is>
      </c>
      <c r="E174" s="28" t="n"/>
      <c r="F174" s="28" t="inlineStr">
        <is>
          <t>test_sel_dac_inst</t>
        </is>
      </c>
      <c r="G174" s="28" t="inlineStr">
        <is>
          <t>test_sel_pga_inst</t>
        </is>
      </c>
      <c r="H174" s="28" t="inlineStr">
        <is>
          <t>test_sel_cmp_inst</t>
        </is>
      </c>
      <c r="I174" s="28" t="n"/>
      <c r="J174" s="28" t="inlineStr">
        <is>
          <t>test_sel_pll_inst</t>
        </is>
      </c>
      <c r="K174" s="28" t="inlineStr">
        <is>
          <t>test_sel_adc_inst_grp_2</t>
        </is>
      </c>
      <c r="L174" s="28" t="inlineStr">
        <is>
          <t>test_sel_adc_inst_grp_1</t>
        </is>
      </c>
      <c r="M174" t="inlineStr">
        <is>
          <t>0x00</t>
        </is>
      </c>
    </row>
    <row r="175">
      <c r="A175" s="28" t="n">
        <v>173</v>
      </c>
      <c r="B175" s="28">
        <f>CONCATENATE("0x",DEC2HEX(A175,4))</f>
        <v/>
      </c>
      <c r="C175" s="133" t="n"/>
      <c r="D175" s="28" t="inlineStr">
        <is>
          <t>TEST_SEL_Byte_1</t>
        </is>
      </c>
      <c r="E175" s="28" t="inlineStr">
        <is>
          <t>test_sel_top_inst</t>
        </is>
      </c>
      <c r="F175" s="28" t="inlineStr">
        <is>
          <t>test_sel_pmu_inst_grp_4</t>
        </is>
      </c>
      <c r="G175" s="28" t="inlineStr">
        <is>
          <t>test_sel_pmu_inst_grp_3</t>
        </is>
      </c>
      <c r="H175" s="28" t="inlineStr">
        <is>
          <t>test_sel_pmu_inst_grp_2</t>
        </is>
      </c>
      <c r="I175" s="28" t="inlineStr">
        <is>
          <t>test_sel_pmu_inst_grp_1</t>
        </is>
      </c>
      <c r="J175" s="28" t="inlineStr">
        <is>
          <t>test_sel_osc32k_inst</t>
        </is>
      </c>
      <c r="K175" s="28" t="inlineStr">
        <is>
          <t>test_sel_osc48m_inst</t>
        </is>
      </c>
      <c r="L175" s="28" t="inlineStr">
        <is>
          <t>test_sel_osc32m_inst</t>
        </is>
      </c>
      <c r="M175" t="inlineStr">
        <is>
          <t>0x00</t>
        </is>
      </c>
    </row>
    <row r="176">
      <c r="A176" s="28" t="n">
        <v>174</v>
      </c>
      <c r="B176" s="28">
        <f>CONCATENATE("0x",DEC2HEX(A176,4))</f>
        <v/>
      </c>
      <c r="C176" s="133" t="n"/>
      <c r="D176" s="28" t="inlineStr">
        <is>
          <t>TEST_SEL_Byte_2</t>
        </is>
      </c>
      <c r="E176" s="28" t="n"/>
      <c r="F176" s="28" t="n"/>
      <c r="G176" s="28" t="n"/>
      <c r="H176" s="28" t="n"/>
      <c r="I176" s="28" t="n"/>
      <c r="J176" s="28" t="inlineStr">
        <is>
          <t>test_sel_ulppmu_inst</t>
        </is>
      </c>
      <c r="K176" s="28" t="inlineStr">
        <is>
          <t>test_sel_cvr_inst</t>
        </is>
      </c>
      <c r="L176" s="28" t="inlineStr">
        <is>
          <t>test_sel_pad_ring_inst</t>
        </is>
      </c>
      <c r="M176" t="inlineStr">
        <is>
          <t>0x00</t>
        </is>
      </c>
    </row>
    <row r="177">
      <c r="A177" s="28" t="n">
        <v>175</v>
      </c>
      <c r="B177" s="28">
        <f>CONCATENATE("0x",DEC2HEX(A177,4))</f>
        <v/>
      </c>
      <c r="C177" s="134" t="n"/>
      <c r="D177" s="28" t="inlineStr">
        <is>
          <t>TEST_SEL_Byte_3</t>
        </is>
      </c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t="inlineStr">
        <is>
          <t>0x00</t>
        </is>
      </c>
    </row>
    <row r="178">
      <c r="A178" s="28" t="n">
        <v>176</v>
      </c>
      <c r="B178" s="28">
        <f>CONCATENATE("0x",DEC2HEX(A178,4))</f>
        <v/>
      </c>
      <c r="C178" s="28" t="n"/>
      <c r="D178" s="28" t="n"/>
      <c r="E178" s="28" t="n"/>
      <c r="F178" s="135" t="n"/>
      <c r="G178" s="135" t="n"/>
      <c r="H178" s="132" t="n"/>
      <c r="I178" s="28" t="n"/>
      <c r="J178" s="135" t="n"/>
      <c r="K178" s="135" t="n"/>
      <c r="L178" s="132" t="n"/>
      <c r="M178" t="inlineStr">
        <is>
          <t>0x00</t>
        </is>
      </c>
    </row>
    <row r="179">
      <c r="A179" s="28" t="n">
        <v>177</v>
      </c>
      <c r="B179" s="28">
        <f>CONCATENATE("0x",DEC2HEX(A179,4))</f>
        <v/>
      </c>
      <c r="C179" s="133" t="n"/>
      <c r="D179" s="28" t="n"/>
      <c r="E179" s="58" t="n"/>
      <c r="F179" s="28" t="n"/>
      <c r="G179" s="132" t="n"/>
      <c r="H179" s="28" t="n"/>
      <c r="I179" s="28" t="n"/>
      <c r="J179" s="132" t="n"/>
      <c r="K179" s="28" t="n"/>
      <c r="L179" s="28" t="n"/>
      <c r="M179" t="inlineStr">
        <is>
          <t>0x00</t>
        </is>
      </c>
    </row>
    <row r="180">
      <c r="A180" s="28" t="n">
        <v>178</v>
      </c>
      <c r="B180" s="28">
        <f>CONCATENATE("0x",DEC2HEX(A180,4))</f>
        <v/>
      </c>
      <c r="C180" s="133" t="n"/>
      <c r="D180" s="28" t="n"/>
      <c r="E180" s="58" t="n"/>
      <c r="F180" s="58" t="n"/>
      <c r="G180" s="58" t="n"/>
      <c r="H180" s="58" t="n"/>
      <c r="I180" s="28" t="n"/>
      <c r="J180" s="135" t="n"/>
      <c r="K180" s="135" t="n"/>
      <c r="L180" s="132" t="n"/>
      <c r="M180" t="inlineStr">
        <is>
          <t>0x00</t>
        </is>
      </c>
    </row>
    <row r="181">
      <c r="A181" s="28" t="n">
        <v>179</v>
      </c>
      <c r="B181" s="28">
        <f>CONCATENATE("0x",DEC2HEX(A181,4))</f>
        <v/>
      </c>
      <c r="C181" s="134" t="n"/>
      <c r="D181" s="28" t="n"/>
      <c r="E181" s="58" t="n"/>
      <c r="F181" s="58" t="n"/>
      <c r="G181" s="58" t="n"/>
      <c r="H181" s="30" t="n"/>
      <c r="I181" s="58" t="n"/>
      <c r="J181" s="28" t="n"/>
      <c r="K181" s="132" t="n"/>
      <c r="L181" s="28" t="n"/>
      <c r="M181" t="inlineStr">
        <is>
          <t>0x00</t>
        </is>
      </c>
    </row>
    <row r="182" ht="15.75" customHeight="1" s="26">
      <c r="A182" s="28" t="n">
        <v>180</v>
      </c>
      <c r="B182" s="28">
        <f>CONCATENATE("0x",DEC2HEX(A182,4))</f>
        <v/>
      </c>
      <c r="C182" s="28" t="n"/>
      <c r="D182" s="28" t="n"/>
      <c r="E182" s="58" t="n"/>
      <c r="F182" s="58" t="n"/>
      <c r="G182" s="58" t="n"/>
      <c r="H182" s="28" t="n"/>
      <c r="I182" s="28" t="n"/>
      <c r="J182" s="58" t="n"/>
      <c r="K182" s="65" t="n"/>
      <c r="L182" s="28" t="n"/>
      <c r="M182" t="inlineStr">
        <is>
          <t>0x00</t>
        </is>
      </c>
    </row>
    <row r="183" ht="15.75" customHeight="1" s="26">
      <c r="A183" s="28" t="n">
        <v>181</v>
      </c>
      <c r="B183" s="28">
        <f>CONCATENATE("0x",DEC2HEX(A183,4))</f>
        <v/>
      </c>
      <c r="C183" s="133" t="n"/>
      <c r="D183" s="28" t="n"/>
      <c r="E183" s="58" t="n"/>
      <c r="F183" s="58" t="n"/>
      <c r="G183" s="58" t="n"/>
      <c r="H183" s="147" t="n"/>
      <c r="I183" s="135" t="n"/>
      <c r="J183" s="135" t="n"/>
      <c r="K183" s="135" t="n"/>
      <c r="L183" s="132" t="n"/>
      <c r="M183" t="inlineStr">
        <is>
          <t>0x00</t>
        </is>
      </c>
    </row>
    <row r="184">
      <c r="A184" s="28" t="n">
        <v>182</v>
      </c>
      <c r="B184" s="28">
        <f>CONCATENATE("0x",DEC2HEX(A184,4))</f>
        <v/>
      </c>
      <c r="C184" s="133" t="n"/>
      <c r="D184" s="2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t="inlineStr">
        <is>
          <t>0x00</t>
        </is>
      </c>
    </row>
    <row r="185">
      <c r="A185" s="28" t="n">
        <v>183</v>
      </c>
      <c r="B185" s="28">
        <f>CONCATENATE("0x",DEC2HEX(A185,4))</f>
        <v/>
      </c>
      <c r="C185" s="134" t="n"/>
      <c r="D185" s="2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t="inlineStr">
        <is>
          <t>0x00</t>
        </is>
      </c>
    </row>
    <row r="186">
      <c r="A186" s="28" t="n">
        <v>184</v>
      </c>
      <c r="B186" s="28">
        <f>CONCATENATE("0x",DEC2HEX(A186,4))</f>
        <v/>
      </c>
      <c r="C186" s="28" t="n"/>
      <c r="D186" s="28" t="n"/>
      <c r="E186" s="30" t="n"/>
      <c r="F186" s="135" t="n"/>
      <c r="G186" s="135" t="n"/>
      <c r="H186" s="135" t="n"/>
      <c r="I186" s="135" t="n"/>
      <c r="J186" s="135" t="n"/>
      <c r="K186" s="135" t="n"/>
      <c r="L186" s="132" t="n"/>
      <c r="M186" t="inlineStr">
        <is>
          <t>0x00</t>
        </is>
      </c>
    </row>
    <row r="187">
      <c r="A187" s="28" t="n">
        <v>185</v>
      </c>
      <c r="B187" s="28">
        <f>CONCATENATE("0x",DEC2HEX(A187,4))</f>
        <v/>
      </c>
      <c r="C187" s="133" t="n"/>
      <c r="D187" s="28" t="n"/>
      <c r="E187" s="30" t="n"/>
      <c r="F187" s="135" t="n"/>
      <c r="G187" s="135" t="n"/>
      <c r="H187" s="135" t="n"/>
      <c r="I187" s="135" t="n"/>
      <c r="J187" s="135" t="n"/>
      <c r="K187" s="135" t="n"/>
      <c r="L187" s="132" t="n"/>
      <c r="M187" t="inlineStr">
        <is>
          <t>0x00</t>
        </is>
      </c>
    </row>
    <row r="188">
      <c r="A188" s="28" t="n">
        <v>186</v>
      </c>
      <c r="B188" s="28">
        <f>CONCATENATE("0x",DEC2HEX(A188,4))</f>
        <v/>
      </c>
      <c r="C188" s="133" t="n"/>
      <c r="D188" s="28" t="n"/>
      <c r="E188" s="30" t="n"/>
      <c r="F188" s="135" t="n"/>
      <c r="G188" s="135" t="n"/>
      <c r="H188" s="135" t="n"/>
      <c r="I188" s="135" t="n"/>
      <c r="J188" s="135" t="n"/>
      <c r="K188" s="135" t="n"/>
      <c r="L188" s="132" t="n"/>
      <c r="M188" t="inlineStr">
        <is>
          <t>0x00</t>
        </is>
      </c>
    </row>
    <row r="189">
      <c r="A189" s="28" t="n">
        <v>187</v>
      </c>
      <c r="B189" s="28">
        <f>CONCATENATE("0x",DEC2HEX(A189,4))</f>
        <v/>
      </c>
      <c r="C189" s="134" t="n"/>
      <c r="D189" s="28" t="n"/>
      <c r="E189" s="30" t="n"/>
      <c r="F189" s="135" t="n"/>
      <c r="G189" s="135" t="n"/>
      <c r="H189" s="135" t="n"/>
      <c r="I189" s="135" t="n"/>
      <c r="J189" s="135" t="n"/>
      <c r="K189" s="135" t="n"/>
      <c r="L189" s="132" t="n"/>
      <c r="M189" t="inlineStr">
        <is>
          <t>0x00</t>
        </is>
      </c>
    </row>
    <row r="190">
      <c r="A190" s="28" t="n">
        <v>188</v>
      </c>
      <c r="B190" s="28">
        <f>CONCATENATE("0x",DEC2HEX(A190,4))</f>
        <v/>
      </c>
      <c r="C190" s="28" t="n"/>
      <c r="D190" s="28" t="n"/>
      <c r="E190" s="30" t="n"/>
      <c r="F190" s="135" t="n"/>
      <c r="G190" s="135" t="n"/>
      <c r="H190" s="135" t="n"/>
      <c r="I190" s="135" t="n"/>
      <c r="J190" s="135" t="n"/>
      <c r="K190" s="135" t="n"/>
      <c r="L190" s="132" t="n"/>
      <c r="M190" t="inlineStr">
        <is>
          <t>0x00</t>
        </is>
      </c>
    </row>
    <row r="191">
      <c r="A191" s="28" t="n">
        <v>189</v>
      </c>
      <c r="B191" s="28">
        <f>CONCATENATE("0x",DEC2HEX(A191,4))</f>
        <v/>
      </c>
      <c r="C191" s="133" t="n"/>
      <c r="D191" s="28" t="n"/>
      <c r="E191" s="30" t="n"/>
      <c r="F191" s="135" t="n"/>
      <c r="G191" s="135" t="n"/>
      <c r="H191" s="135" t="n"/>
      <c r="I191" s="135" t="n"/>
      <c r="J191" s="135" t="n"/>
      <c r="K191" s="135" t="n"/>
      <c r="L191" s="132" t="n"/>
      <c r="M191" t="inlineStr">
        <is>
          <t>0x00</t>
        </is>
      </c>
    </row>
    <row r="192">
      <c r="A192" s="28" t="n">
        <v>190</v>
      </c>
      <c r="B192" s="28">
        <f>CONCATENATE("0x",DEC2HEX(A192,4))</f>
        <v/>
      </c>
      <c r="C192" s="133" t="n"/>
      <c r="D192" s="28" t="n"/>
      <c r="E192" s="30" t="n"/>
      <c r="F192" s="135" t="n"/>
      <c r="G192" s="135" t="n"/>
      <c r="H192" s="135" t="n"/>
      <c r="I192" s="135" t="n"/>
      <c r="J192" s="135" t="n"/>
      <c r="K192" s="135" t="n"/>
      <c r="L192" s="132" t="n"/>
      <c r="M192" t="inlineStr">
        <is>
          <t>0x00</t>
        </is>
      </c>
    </row>
    <row r="193">
      <c r="A193" s="28" t="n">
        <v>191</v>
      </c>
      <c r="B193" s="28">
        <f>CONCATENATE("0x",DEC2HEX(A193,4))</f>
        <v/>
      </c>
      <c r="C193" s="134" t="n"/>
      <c r="D193" s="28" t="n"/>
      <c r="E193" s="30" t="n"/>
      <c r="F193" s="135" t="n"/>
      <c r="G193" s="135" t="n"/>
      <c r="H193" s="135" t="n"/>
      <c r="I193" s="135" t="n"/>
      <c r="J193" s="135" t="n"/>
      <c r="K193" s="135" t="n"/>
      <c r="L193" s="132" t="n"/>
      <c r="M193" t="inlineStr">
        <is>
          <t>0x00</t>
        </is>
      </c>
    </row>
    <row r="194">
      <c r="A194" s="28" t="n">
        <v>192</v>
      </c>
      <c r="B194" s="28">
        <f>CONCATENATE("0x",DEC2HEX(A194,4))</f>
        <v/>
      </c>
      <c r="C194" s="28" t="n"/>
      <c r="D194" s="28" t="n"/>
      <c r="E194" s="30" t="n"/>
      <c r="F194" s="135" t="n"/>
      <c r="G194" s="135" t="n"/>
      <c r="H194" s="135" t="n"/>
      <c r="I194" s="135" t="n"/>
      <c r="J194" s="135" t="n"/>
      <c r="K194" s="135" t="n"/>
      <c r="L194" s="132" t="n"/>
      <c r="M194" t="inlineStr">
        <is>
          <t>0x00</t>
        </is>
      </c>
    </row>
    <row r="195">
      <c r="A195" s="28" t="n">
        <v>193</v>
      </c>
      <c r="B195" s="28">
        <f>CONCATENATE("0x",DEC2HEX(A195,4))</f>
        <v/>
      </c>
      <c r="C195" s="133" t="n"/>
      <c r="D195" s="28" t="n"/>
      <c r="E195" s="30" t="n"/>
      <c r="F195" s="135" t="n"/>
      <c r="G195" s="135" t="n"/>
      <c r="H195" s="135" t="n"/>
      <c r="I195" s="135" t="n"/>
      <c r="J195" s="135" t="n"/>
      <c r="K195" s="135" t="n"/>
      <c r="L195" s="132" t="n"/>
      <c r="M195" t="inlineStr">
        <is>
          <t>0x00</t>
        </is>
      </c>
    </row>
    <row r="196">
      <c r="A196" s="28" t="n">
        <v>194</v>
      </c>
      <c r="B196" s="28">
        <f>CONCATENATE("0x",DEC2HEX(A196,4))</f>
        <v/>
      </c>
      <c r="C196" s="133" t="n"/>
      <c r="D196" s="28" t="n"/>
      <c r="E196" s="30" t="n"/>
      <c r="F196" s="135" t="n"/>
      <c r="G196" s="135" t="n"/>
      <c r="H196" s="135" t="n"/>
      <c r="I196" s="135" t="n"/>
      <c r="J196" s="135" t="n"/>
      <c r="K196" s="135" t="n"/>
      <c r="L196" s="132" t="n"/>
      <c r="M196" t="inlineStr">
        <is>
          <t>0x00</t>
        </is>
      </c>
    </row>
    <row r="197">
      <c r="A197" s="28" t="n">
        <v>195</v>
      </c>
      <c r="B197" s="28">
        <f>CONCATENATE("0x",DEC2HEX(A197,4))</f>
        <v/>
      </c>
      <c r="C197" s="134" t="n"/>
      <c r="D197" s="28" t="n"/>
      <c r="E197" s="30" t="n"/>
      <c r="F197" s="135" t="n"/>
      <c r="G197" s="135" t="n"/>
      <c r="H197" s="135" t="n"/>
      <c r="I197" s="135" t="n"/>
      <c r="J197" s="135" t="n"/>
      <c r="K197" s="135" t="n"/>
      <c r="L197" s="132" t="n"/>
      <c r="M197" t="inlineStr">
        <is>
          <t>0x00</t>
        </is>
      </c>
    </row>
    <row r="198">
      <c r="A198" s="28" t="n">
        <v>196</v>
      </c>
      <c r="B198" s="28">
        <f>CONCATENATE("0x",DEC2HEX(A198,4))</f>
        <v/>
      </c>
      <c r="C198" s="28" t="n"/>
      <c r="D198" s="28" t="n"/>
      <c r="E198" s="30" t="n"/>
      <c r="F198" s="135" t="n"/>
      <c r="G198" s="135" t="n"/>
      <c r="H198" s="135" t="n"/>
      <c r="I198" s="135" t="n"/>
      <c r="J198" s="135" t="n"/>
      <c r="K198" s="135" t="n"/>
      <c r="L198" s="132" t="n"/>
      <c r="M198" t="inlineStr">
        <is>
          <t>0x00</t>
        </is>
      </c>
    </row>
    <row r="199">
      <c r="A199" s="28" t="n">
        <v>197</v>
      </c>
      <c r="B199" s="28">
        <f>CONCATENATE("0x",DEC2HEX(A199,4))</f>
        <v/>
      </c>
      <c r="C199" s="133" t="n"/>
      <c r="D199" s="28" t="n"/>
      <c r="E199" s="30" t="n"/>
      <c r="F199" s="135" t="n"/>
      <c r="G199" s="135" t="n"/>
      <c r="H199" s="135" t="n"/>
      <c r="I199" s="135" t="n"/>
      <c r="J199" s="135" t="n"/>
      <c r="K199" s="135" t="n"/>
      <c r="L199" s="132" t="n"/>
      <c r="M199" t="inlineStr">
        <is>
          <t>0x00</t>
        </is>
      </c>
    </row>
    <row r="200">
      <c r="A200" s="28" t="n">
        <v>198</v>
      </c>
      <c r="B200" s="28">
        <f>CONCATENATE("0x",DEC2HEX(A200,4))</f>
        <v/>
      </c>
      <c r="C200" s="133" t="n"/>
      <c r="D200" s="28" t="n"/>
      <c r="E200" s="30" t="n"/>
      <c r="F200" s="135" t="n"/>
      <c r="G200" s="135" t="n"/>
      <c r="H200" s="135" t="n"/>
      <c r="I200" s="135" t="n"/>
      <c r="J200" s="135" t="n"/>
      <c r="K200" s="135" t="n"/>
      <c r="L200" s="132" t="n"/>
      <c r="M200" t="inlineStr">
        <is>
          <t>0x00</t>
        </is>
      </c>
    </row>
    <row r="201">
      <c r="A201" s="28" t="n">
        <v>199</v>
      </c>
      <c r="B201" s="28">
        <f>CONCATENATE("0x",DEC2HEX(A201,4))</f>
        <v/>
      </c>
      <c r="C201" s="134" t="n"/>
      <c r="D201" s="28" t="n"/>
      <c r="E201" s="30" t="n"/>
      <c r="F201" s="135" t="n"/>
      <c r="G201" s="135" t="n"/>
      <c r="H201" s="135" t="n"/>
      <c r="I201" s="135" t="n"/>
      <c r="J201" s="135" t="n"/>
      <c r="K201" s="135" t="n"/>
      <c r="L201" s="132" t="n"/>
      <c r="M201" t="inlineStr">
        <is>
          <t>0x00</t>
        </is>
      </c>
    </row>
    <row r="202">
      <c r="A202" s="28" t="n">
        <v>200</v>
      </c>
      <c r="B202" s="28">
        <f>CONCATENATE("0x",DEC2HEX(A202,4))</f>
        <v/>
      </c>
      <c r="C202" s="28" t="n"/>
      <c r="D202" s="28" t="n"/>
      <c r="E202" s="30" t="n"/>
      <c r="F202" s="135" t="n"/>
      <c r="G202" s="135" t="n"/>
      <c r="H202" s="135" t="n"/>
      <c r="I202" s="135" t="n"/>
      <c r="J202" s="135" t="n"/>
      <c r="K202" s="135" t="n"/>
      <c r="L202" s="132" t="n"/>
      <c r="M202" t="inlineStr">
        <is>
          <t>0x00</t>
        </is>
      </c>
    </row>
    <row r="203">
      <c r="A203" s="28" t="n">
        <v>201</v>
      </c>
      <c r="B203" s="28">
        <f>CONCATENATE("0x",DEC2HEX(A203,4))</f>
        <v/>
      </c>
      <c r="C203" s="133" t="n"/>
      <c r="D203" s="28" t="n"/>
      <c r="E203" s="30" t="n"/>
      <c r="F203" s="135" t="n"/>
      <c r="G203" s="135" t="n"/>
      <c r="H203" s="135" t="n"/>
      <c r="I203" s="135" t="n"/>
      <c r="J203" s="135" t="n"/>
      <c r="K203" s="135" t="n"/>
      <c r="L203" s="132" t="n"/>
      <c r="M203" t="inlineStr">
        <is>
          <t>0x00</t>
        </is>
      </c>
    </row>
    <row r="204">
      <c r="A204" s="28" t="n">
        <v>202</v>
      </c>
      <c r="B204" s="28">
        <f>CONCATENATE("0x",DEC2HEX(A204,4))</f>
        <v/>
      </c>
      <c r="C204" s="133" t="n"/>
      <c r="D204" s="28" t="n"/>
      <c r="E204" s="30" t="n"/>
      <c r="F204" s="135" t="n"/>
      <c r="G204" s="135" t="n"/>
      <c r="H204" s="135" t="n"/>
      <c r="I204" s="135" t="n"/>
      <c r="J204" s="135" t="n"/>
      <c r="K204" s="135" t="n"/>
      <c r="L204" s="132" t="n"/>
      <c r="M204" t="inlineStr">
        <is>
          <t>0x00</t>
        </is>
      </c>
    </row>
    <row r="205">
      <c r="A205" s="28" t="n">
        <v>203</v>
      </c>
      <c r="B205" s="28">
        <f>CONCATENATE("0x",DEC2HEX(A205,4))</f>
        <v/>
      </c>
      <c r="C205" s="134" t="n"/>
      <c r="D205" s="28" t="n"/>
      <c r="E205" s="30" t="n"/>
      <c r="F205" s="135" t="n"/>
      <c r="G205" s="135" t="n"/>
      <c r="H205" s="135" t="n"/>
      <c r="I205" s="135" t="n"/>
      <c r="J205" s="135" t="n"/>
      <c r="K205" s="135" t="n"/>
      <c r="L205" s="132" t="n"/>
      <c r="M205" t="inlineStr">
        <is>
          <t>0x00</t>
        </is>
      </c>
    </row>
    <row r="206" ht="15.75" customHeight="1" s="26">
      <c r="A206" s="28" t="n">
        <v>204</v>
      </c>
      <c r="B206" s="28">
        <f>CONCATENATE("0x",DEC2HEX(A206,4))</f>
        <v/>
      </c>
      <c r="C206" s="28" t="n"/>
      <c r="D206" s="28" t="n"/>
      <c r="E206" s="70" t="n"/>
      <c r="F206" s="135" t="n"/>
      <c r="G206" s="135" t="n"/>
      <c r="H206" s="135" t="n"/>
      <c r="I206" s="135" t="n"/>
      <c r="J206" s="135" t="n"/>
      <c r="K206" s="135" t="n"/>
      <c r="L206" s="132" t="n"/>
      <c r="M206" t="inlineStr">
        <is>
          <t>0x00</t>
        </is>
      </c>
    </row>
    <row r="207" ht="15.75" customHeight="1" s="26">
      <c r="A207" s="28" t="n">
        <v>205</v>
      </c>
      <c r="B207" s="28">
        <f>CONCATENATE("0x",DEC2HEX(A207,4))</f>
        <v/>
      </c>
      <c r="C207" s="133" t="n"/>
      <c r="D207" s="28" t="n"/>
      <c r="E207" s="70" t="n"/>
      <c r="F207" s="135" t="n"/>
      <c r="G207" s="135" t="n"/>
      <c r="H207" s="135" t="n"/>
      <c r="I207" s="135" t="n"/>
      <c r="J207" s="135" t="n"/>
      <c r="K207" s="135" t="n"/>
      <c r="L207" s="132" t="n"/>
      <c r="M207" t="inlineStr">
        <is>
          <t>0x00</t>
        </is>
      </c>
    </row>
    <row r="208" ht="15.75" customHeight="1" s="26">
      <c r="A208" s="28" t="n">
        <v>206</v>
      </c>
      <c r="B208" s="28">
        <f>CONCATENATE("0x",DEC2HEX(A208,4))</f>
        <v/>
      </c>
      <c r="C208" s="133" t="n"/>
      <c r="D208" s="28" t="n"/>
      <c r="E208" s="70" t="n"/>
      <c r="F208" s="135" t="n"/>
      <c r="G208" s="135" t="n"/>
      <c r="H208" s="135" t="n"/>
      <c r="I208" s="135" t="n"/>
      <c r="J208" s="135" t="n"/>
      <c r="K208" s="135" t="n"/>
      <c r="L208" s="132" t="n"/>
      <c r="M208" t="inlineStr">
        <is>
          <t>0x00</t>
        </is>
      </c>
    </row>
    <row r="209" ht="15.75" customHeight="1" s="26">
      <c r="A209" s="28" t="n">
        <v>207</v>
      </c>
      <c r="B209" s="28">
        <f>CONCATENATE("0x",DEC2HEX(A209,4))</f>
        <v/>
      </c>
      <c r="C209" s="134" t="n"/>
      <c r="D209" s="28" t="n"/>
      <c r="E209" s="70" t="n"/>
      <c r="F209" s="135" t="n"/>
      <c r="G209" s="135" t="n"/>
      <c r="H209" s="135" t="n"/>
      <c r="I209" s="135" t="n"/>
      <c r="J209" s="135" t="n"/>
      <c r="K209" s="135" t="n"/>
      <c r="L209" s="132" t="n"/>
      <c r="M209" t="inlineStr">
        <is>
          <t>0x00</t>
        </is>
      </c>
    </row>
    <row r="210" ht="15.75" customHeight="1" s="26">
      <c r="A210" s="28" t="n">
        <v>208</v>
      </c>
      <c r="B210" s="28">
        <f>CONCATENATE("0x",DEC2HEX(A210,4))</f>
        <v/>
      </c>
      <c r="C210" s="28" t="n"/>
      <c r="D210" s="28" t="n"/>
      <c r="E210" s="70" t="n"/>
      <c r="F210" s="30" t="n"/>
      <c r="G210" s="30" t="n"/>
      <c r="H210" s="30" t="n"/>
      <c r="I210" s="30" t="n"/>
      <c r="J210" s="30" t="n"/>
      <c r="K210" s="30" t="n"/>
      <c r="L210" s="30" t="n"/>
      <c r="M210" t="inlineStr">
        <is>
          <t>0x00</t>
        </is>
      </c>
    </row>
    <row r="211" ht="15.75" customHeight="1" s="26">
      <c r="A211" s="28" t="n">
        <v>209</v>
      </c>
      <c r="B211" s="28">
        <f>CONCATENATE("0x",DEC2HEX(A211,4))</f>
        <v/>
      </c>
      <c r="C211" s="133" t="n"/>
      <c r="D211" s="28" t="n"/>
      <c r="E211" s="70" t="n"/>
      <c r="F211" s="30" t="n"/>
      <c r="G211" s="30" t="n"/>
      <c r="H211" s="30" t="n"/>
      <c r="I211" s="30" t="n"/>
      <c r="J211" s="30" t="n"/>
      <c r="K211" s="30" t="n"/>
      <c r="L211" s="30" t="n"/>
      <c r="M211" t="inlineStr">
        <is>
          <t>0x00</t>
        </is>
      </c>
    </row>
    <row r="212" ht="15.75" customHeight="1" s="26">
      <c r="A212" s="28" t="n">
        <v>210</v>
      </c>
      <c r="B212" s="28">
        <f>CONCATENATE("0x",DEC2HEX(A212,4))</f>
        <v/>
      </c>
      <c r="C212" s="133" t="n"/>
      <c r="D212" s="28" t="n"/>
      <c r="E212" s="70" t="n"/>
      <c r="F212" s="30" t="n"/>
      <c r="G212" s="30" t="n"/>
      <c r="H212" s="30" t="n"/>
      <c r="I212" s="30" t="n"/>
      <c r="J212" s="30" t="n"/>
      <c r="K212" s="30" t="n"/>
      <c r="L212" s="30" t="n"/>
      <c r="M212" t="inlineStr">
        <is>
          <t>0x00</t>
        </is>
      </c>
    </row>
    <row r="213" ht="15.75" customHeight="1" s="26">
      <c r="A213" s="28" t="n">
        <v>211</v>
      </c>
      <c r="B213" s="28">
        <f>CONCATENATE("0x",DEC2HEX(A213,4))</f>
        <v/>
      </c>
      <c r="C213" s="134" t="n"/>
      <c r="D213" s="28" t="n"/>
      <c r="E213" s="70" t="n"/>
      <c r="F213" s="30" t="n"/>
      <c r="G213" s="30" t="n"/>
      <c r="H213" s="30" t="n"/>
      <c r="I213" s="30" t="n"/>
      <c r="J213" s="30" t="n"/>
      <c r="K213" s="30" t="n"/>
      <c r="L213" s="30" t="n"/>
      <c r="M213" t="inlineStr">
        <is>
          <t>0x00</t>
        </is>
      </c>
    </row>
    <row r="214" ht="15.75" customHeight="1" s="26">
      <c r="A214" s="28" t="n">
        <v>212</v>
      </c>
      <c r="B214" s="28">
        <f>CONCATENATE("0x",DEC2HEX(A214,4))</f>
        <v/>
      </c>
      <c r="C214" s="28" t="n"/>
      <c r="D214" s="28" t="n"/>
      <c r="E214" s="70" t="n"/>
      <c r="F214" s="135" t="n"/>
      <c r="G214" s="135" t="n"/>
      <c r="H214" s="135" t="n"/>
      <c r="I214" s="135" t="n"/>
      <c r="J214" s="135" t="n"/>
      <c r="K214" s="135" t="n"/>
      <c r="L214" s="132" t="n"/>
      <c r="M214" t="inlineStr">
        <is>
          <t>0x00</t>
        </is>
      </c>
    </row>
    <row r="215" ht="15.75" customHeight="1" s="26">
      <c r="A215" s="28" t="n">
        <v>213</v>
      </c>
      <c r="B215" s="28">
        <f>CONCATENATE("0x",DEC2HEX(A215,4))</f>
        <v/>
      </c>
      <c r="C215" s="133" t="n"/>
      <c r="D215" s="28" t="n"/>
      <c r="E215" s="70" t="n"/>
      <c r="F215" s="135" t="n"/>
      <c r="G215" s="135" t="n"/>
      <c r="H215" s="135" t="n"/>
      <c r="I215" s="135" t="n"/>
      <c r="J215" s="135" t="n"/>
      <c r="K215" s="135" t="n"/>
      <c r="L215" s="132" t="n"/>
      <c r="M215" t="inlineStr">
        <is>
          <t>0x00</t>
        </is>
      </c>
    </row>
    <row r="216" ht="15.75" customHeight="1" s="26">
      <c r="A216" s="28" t="n">
        <v>214</v>
      </c>
      <c r="B216" s="28">
        <f>CONCATENATE("0x",DEC2HEX(A216,4))</f>
        <v/>
      </c>
      <c r="C216" s="133" t="n"/>
      <c r="D216" s="28" t="n"/>
      <c r="E216" s="70" t="n"/>
      <c r="F216" s="135" t="n"/>
      <c r="G216" s="135" t="n"/>
      <c r="H216" s="135" t="n"/>
      <c r="I216" s="135" t="n"/>
      <c r="J216" s="135" t="n"/>
      <c r="K216" s="135" t="n"/>
      <c r="L216" s="132" t="n"/>
      <c r="M216" t="inlineStr">
        <is>
          <t>0x00</t>
        </is>
      </c>
    </row>
    <row r="217" ht="15.75" customHeight="1" s="26">
      <c r="A217" s="28" t="n">
        <v>215</v>
      </c>
      <c r="B217" s="28">
        <f>CONCATENATE("0x",DEC2HEX(A217,4))</f>
        <v/>
      </c>
      <c r="C217" s="134" t="n"/>
      <c r="D217" s="28" t="n"/>
      <c r="E217" s="70" t="n"/>
      <c r="F217" s="135" t="n"/>
      <c r="G217" s="135" t="n"/>
      <c r="H217" s="135" t="n"/>
      <c r="I217" s="135" t="n"/>
      <c r="J217" s="135" t="n"/>
      <c r="K217" s="135" t="n"/>
      <c r="L217" s="132" t="n"/>
      <c r="M217" t="inlineStr">
        <is>
          <t>0x00</t>
        </is>
      </c>
    </row>
    <row r="218">
      <c r="A218" s="28" t="n">
        <v>216</v>
      </c>
      <c r="B218" s="28">
        <f>CONCATENATE("0x",DEC2HEX(A218,4))</f>
        <v/>
      </c>
      <c r="C218" s="28" t="inlineStr">
        <is>
          <t>PAD_FUNC_SEL_WADDR_0</t>
        </is>
      </c>
      <c r="D218" s="28" t="inlineStr">
        <is>
          <t>PAD_FUNC_SEL_Byte_0</t>
        </is>
      </c>
      <c r="E218" s="58" t="n"/>
      <c r="F218" s="58" t="n"/>
      <c r="G218" s="58" t="n"/>
      <c r="H218" s="58" t="n"/>
      <c r="I218" s="30" t="inlineStr">
        <is>
          <t>pad_P0_func_sel</t>
        </is>
      </c>
      <c r="J218" s="135" t="n"/>
      <c r="K218" s="135" t="n"/>
      <c r="L218" s="132" t="n"/>
      <c r="M218" t="inlineStr">
        <is>
          <t>0x00</t>
        </is>
      </c>
    </row>
    <row r="219">
      <c r="A219" s="28" t="n">
        <v>217</v>
      </c>
      <c r="B219" s="28">
        <f>CONCATENATE("0x",DEC2HEX(A219,4))</f>
        <v/>
      </c>
      <c r="C219" s="133" t="n"/>
      <c r="D219" s="28" t="inlineStr">
        <is>
          <t>PAD_FUNC_SEL_Byte_1</t>
        </is>
      </c>
      <c r="E219" s="58" t="n"/>
      <c r="F219" s="58" t="n"/>
      <c r="G219" s="58" t="n"/>
      <c r="H219" s="58" t="n"/>
      <c r="I219" s="30" t="inlineStr">
        <is>
          <t>pad_P1_func_sel</t>
        </is>
      </c>
      <c r="J219" s="135" t="n"/>
      <c r="K219" s="135" t="n"/>
      <c r="L219" s="132" t="n"/>
      <c r="M219" t="inlineStr">
        <is>
          <t>0x00</t>
        </is>
      </c>
    </row>
    <row r="220">
      <c r="A220" s="28" t="n">
        <v>218</v>
      </c>
      <c r="B220" s="28">
        <f>CONCATENATE("0x",DEC2HEX(A220,4))</f>
        <v/>
      </c>
      <c r="C220" s="133" t="n"/>
      <c r="D220" s="28" t="inlineStr">
        <is>
          <t>PAD_FUNC_SEL_Byte_2</t>
        </is>
      </c>
      <c r="E220" s="58" t="n"/>
      <c r="F220" s="58" t="n"/>
      <c r="G220" s="58" t="n"/>
      <c r="H220" s="58" t="n"/>
      <c r="I220" s="30" t="inlineStr">
        <is>
          <t>pad_P2_func_sel</t>
        </is>
      </c>
      <c r="J220" s="135" t="n"/>
      <c r="K220" s="135" t="n"/>
      <c r="L220" s="132" t="n"/>
      <c r="M220" t="inlineStr">
        <is>
          <t>0x00</t>
        </is>
      </c>
    </row>
    <row r="221">
      <c r="A221" s="28" t="n">
        <v>219</v>
      </c>
      <c r="B221" s="28">
        <f>CONCATENATE("0x",DEC2HEX(A221,4))</f>
        <v/>
      </c>
      <c r="C221" s="134" t="n"/>
      <c r="D221" s="28" t="inlineStr">
        <is>
          <t>PAD_FUNC_SEL_Byte_3</t>
        </is>
      </c>
      <c r="E221" s="58" t="n"/>
      <c r="F221" s="58" t="n"/>
      <c r="G221" s="58" t="n"/>
      <c r="H221" s="58" t="n"/>
      <c r="I221" s="30" t="inlineStr">
        <is>
          <t>pad_P3_func_sel</t>
        </is>
      </c>
      <c r="J221" s="135" t="n"/>
      <c r="K221" s="135" t="n"/>
      <c r="L221" s="132" t="n"/>
      <c r="M221" t="inlineStr">
        <is>
          <t>0x00</t>
        </is>
      </c>
    </row>
    <row r="222">
      <c r="A222" s="28" t="n">
        <v>220</v>
      </c>
      <c r="B222" s="28">
        <f>CONCATENATE("0x",DEC2HEX(A222,4))</f>
        <v/>
      </c>
      <c r="C222" s="28" t="inlineStr">
        <is>
          <t>PAD_FUNC_SEL_WADDR_1</t>
        </is>
      </c>
      <c r="D222" s="28" t="inlineStr">
        <is>
          <t>PAD_FUNC_SEL_Byte_4</t>
        </is>
      </c>
      <c r="E222" s="58" t="n"/>
      <c r="F222" s="58" t="n"/>
      <c r="G222" s="58" t="n"/>
      <c r="H222" s="58" t="n"/>
      <c r="I222" s="30" t="inlineStr">
        <is>
          <t>pad_P4_func_sel</t>
        </is>
      </c>
      <c r="J222" s="135" t="n"/>
      <c r="K222" s="135" t="n"/>
      <c r="L222" s="132" t="n"/>
      <c r="M222" t="inlineStr">
        <is>
          <t>0x00</t>
        </is>
      </c>
    </row>
    <row r="223">
      <c r="A223" s="28" t="n">
        <v>221</v>
      </c>
      <c r="B223" s="28">
        <f>CONCATENATE("0x",DEC2HEX(A223,4))</f>
        <v/>
      </c>
      <c r="C223" s="133" t="n"/>
      <c r="D223" s="28" t="inlineStr">
        <is>
          <t>PAD_FUNC_SEL_Byte_5</t>
        </is>
      </c>
      <c r="E223" s="58" t="n"/>
      <c r="F223" s="58" t="n"/>
      <c r="G223" s="58" t="n"/>
      <c r="H223" s="58" t="n"/>
      <c r="I223" s="30" t="inlineStr">
        <is>
          <t>pad_P5_func_sel</t>
        </is>
      </c>
      <c r="J223" s="135" t="n"/>
      <c r="K223" s="135" t="n"/>
      <c r="L223" s="132" t="n"/>
      <c r="M223" t="inlineStr">
        <is>
          <t>0x00</t>
        </is>
      </c>
    </row>
    <row r="224">
      <c r="A224" s="28" t="n">
        <v>222</v>
      </c>
      <c r="B224" s="28">
        <f>CONCATENATE("0x",DEC2HEX(A224,4))</f>
        <v/>
      </c>
      <c r="C224" s="133" t="n"/>
      <c r="D224" s="28" t="inlineStr">
        <is>
          <t>PAD_FUNC_SEL_Byte_6</t>
        </is>
      </c>
      <c r="E224" s="58" t="n"/>
      <c r="F224" s="58" t="n"/>
      <c r="G224" s="58" t="n"/>
      <c r="H224" s="58" t="n"/>
      <c r="I224" s="30" t="inlineStr">
        <is>
          <t>pad_P6_func_sel</t>
        </is>
      </c>
      <c r="J224" s="135" t="n"/>
      <c r="K224" s="135" t="n"/>
      <c r="L224" s="132" t="n"/>
      <c r="M224" t="inlineStr">
        <is>
          <t>0x00</t>
        </is>
      </c>
    </row>
    <row r="225">
      <c r="A225" s="28" t="n">
        <v>223</v>
      </c>
      <c r="B225" s="28">
        <f>CONCATENATE("0x",DEC2HEX(A225,4))</f>
        <v/>
      </c>
      <c r="C225" s="134" t="n"/>
      <c r="D225" s="28" t="inlineStr">
        <is>
          <t>PAD_FUNC_SEL_Byte_7</t>
        </is>
      </c>
      <c r="E225" s="58" t="n"/>
      <c r="F225" s="58" t="n"/>
      <c r="G225" s="58" t="n"/>
      <c r="H225" s="58" t="n"/>
      <c r="I225" s="30" t="inlineStr">
        <is>
          <t>pad_P7_func_sel</t>
        </is>
      </c>
      <c r="J225" s="135" t="n"/>
      <c r="K225" s="135" t="n"/>
      <c r="L225" s="132" t="n"/>
      <c r="M225" t="inlineStr">
        <is>
          <t>0x00</t>
        </is>
      </c>
    </row>
    <row r="226">
      <c r="A226" s="28" t="n">
        <v>224</v>
      </c>
      <c r="B226" s="28">
        <f>CONCATENATE("0x",DEC2HEX(A226,4))</f>
        <v/>
      </c>
      <c r="C226" s="28" t="inlineStr">
        <is>
          <t>PAD_FUNC_SEL_WADDR_2</t>
        </is>
      </c>
      <c r="D226" s="28" t="inlineStr">
        <is>
          <t>PAD_FUNC_SEL_Byte_8</t>
        </is>
      </c>
      <c r="E226" s="58" t="n"/>
      <c r="F226" s="58" t="n"/>
      <c r="G226" s="58" t="n"/>
      <c r="H226" s="58" t="n"/>
      <c r="I226" s="30" t="inlineStr">
        <is>
          <t>pad_P8_func_sel</t>
        </is>
      </c>
      <c r="J226" s="135" t="n"/>
      <c r="K226" s="135" t="n"/>
      <c r="L226" s="132" t="n"/>
      <c r="M226" t="inlineStr">
        <is>
          <t>0x00</t>
        </is>
      </c>
    </row>
    <row r="227">
      <c r="A227" s="28" t="n">
        <v>225</v>
      </c>
      <c r="B227" s="28">
        <f>CONCATENATE("0x",DEC2HEX(A227,4))</f>
        <v/>
      </c>
      <c r="C227" s="133" t="n"/>
      <c r="D227" s="28" t="inlineStr">
        <is>
          <t>PAD_FUNC_SEL_Byte_9</t>
        </is>
      </c>
      <c r="E227" s="58" t="n"/>
      <c r="F227" s="58" t="n"/>
      <c r="G227" s="58" t="n"/>
      <c r="H227" s="58" t="n"/>
      <c r="I227" s="30" t="inlineStr">
        <is>
          <t>pad_P9_func_sel</t>
        </is>
      </c>
      <c r="J227" s="135" t="n"/>
      <c r="K227" s="135" t="n"/>
      <c r="L227" s="132" t="n"/>
      <c r="M227" t="inlineStr">
        <is>
          <t>0x00</t>
        </is>
      </c>
    </row>
    <row r="228">
      <c r="A228" s="28" t="n">
        <v>226</v>
      </c>
      <c r="B228" s="28">
        <f>CONCATENATE("0x",DEC2HEX(A228,4))</f>
        <v/>
      </c>
      <c r="C228" s="133" t="n"/>
      <c r="D228" s="28" t="inlineStr">
        <is>
          <t>PAD_FUNC_SEL_Byte_10</t>
        </is>
      </c>
      <c r="E228" s="58" t="n"/>
      <c r="F228" s="58" t="n"/>
      <c r="G228" s="58" t="n"/>
      <c r="H228" s="58" t="n"/>
      <c r="I228" s="30" t="inlineStr">
        <is>
          <t>pad_P10_func_sel</t>
        </is>
      </c>
      <c r="J228" s="135" t="n"/>
      <c r="K228" s="135" t="n"/>
      <c r="L228" s="132" t="n"/>
      <c r="M228" t="inlineStr">
        <is>
          <t>0x00</t>
        </is>
      </c>
    </row>
    <row r="229">
      <c r="A229" s="28" t="n">
        <v>227</v>
      </c>
      <c r="B229" s="28">
        <f>CONCATENATE("0x",DEC2HEX(A229,4))</f>
        <v/>
      </c>
      <c r="C229" s="134" t="n"/>
      <c r="D229" s="28" t="inlineStr">
        <is>
          <t>PAD_FUNC_SEL_Byte_11</t>
        </is>
      </c>
      <c r="E229" s="58" t="n"/>
      <c r="F229" s="58" t="n"/>
      <c r="G229" s="58" t="n"/>
      <c r="H229" s="58" t="n"/>
      <c r="I229" s="30" t="inlineStr">
        <is>
          <t>pad_P11_func_sel</t>
        </is>
      </c>
      <c r="J229" s="135" t="n"/>
      <c r="K229" s="135" t="n"/>
      <c r="L229" s="132" t="n"/>
      <c r="M229" t="inlineStr">
        <is>
          <t>0x00</t>
        </is>
      </c>
    </row>
    <row r="230">
      <c r="A230" s="28" t="n">
        <v>228</v>
      </c>
      <c r="B230" s="28">
        <f>CONCATENATE("0x",DEC2HEX(A230,4))</f>
        <v/>
      </c>
      <c r="C230" s="28" t="inlineStr">
        <is>
          <t>PAD_FUNC_SEL_WADDR_3</t>
        </is>
      </c>
      <c r="D230" s="28" t="inlineStr">
        <is>
          <t>PAD_FUNC_SEL_Byte_12</t>
        </is>
      </c>
      <c r="E230" s="58" t="n"/>
      <c r="F230" s="58" t="n"/>
      <c r="G230" s="58" t="n"/>
      <c r="H230" s="58" t="n"/>
      <c r="I230" s="30" t="inlineStr">
        <is>
          <t>pad_P12_func_sel</t>
        </is>
      </c>
      <c r="J230" s="135" t="n"/>
      <c r="K230" s="135" t="n"/>
      <c r="L230" s="132" t="n"/>
      <c r="M230" t="inlineStr">
        <is>
          <t>0x00</t>
        </is>
      </c>
    </row>
    <row r="231">
      <c r="A231" s="28" t="n">
        <v>229</v>
      </c>
      <c r="B231" s="28">
        <f>CONCATENATE("0x",DEC2HEX(A231,4))</f>
        <v/>
      </c>
      <c r="C231" s="133" t="n"/>
      <c r="D231" s="28" t="inlineStr">
        <is>
          <t>PAD_FUNC_SEL_Byte_13</t>
        </is>
      </c>
      <c r="E231" s="58" t="n"/>
      <c r="F231" s="58" t="n"/>
      <c r="G231" s="58" t="n"/>
      <c r="H231" s="58" t="n"/>
      <c r="I231" s="30" t="inlineStr">
        <is>
          <t>pad_P13_func_sel</t>
        </is>
      </c>
      <c r="J231" s="135" t="n"/>
      <c r="K231" s="135" t="n"/>
      <c r="L231" s="132" t="n"/>
      <c r="M231" t="inlineStr">
        <is>
          <t>0x00</t>
        </is>
      </c>
    </row>
    <row r="232">
      <c r="A232" s="28" t="n">
        <v>230</v>
      </c>
      <c r="B232" s="28">
        <f>CONCATENATE("0x",DEC2HEX(A232,4))</f>
        <v/>
      </c>
      <c r="C232" s="133" t="n"/>
      <c r="D232" s="28" t="inlineStr">
        <is>
          <t>PAD_FUNC_SEL_Byte_14</t>
        </is>
      </c>
      <c r="E232" s="58" t="n"/>
      <c r="F232" s="58" t="n"/>
      <c r="G232" s="58" t="n"/>
      <c r="H232" s="58" t="n"/>
      <c r="I232" s="30" t="inlineStr">
        <is>
          <t>pad_P14_func_sel</t>
        </is>
      </c>
      <c r="J232" s="135" t="n"/>
      <c r="K232" s="135" t="n"/>
      <c r="L232" s="132" t="n"/>
      <c r="M232" t="inlineStr">
        <is>
          <t>0x00</t>
        </is>
      </c>
    </row>
    <row r="233">
      <c r="A233" s="28" t="n">
        <v>231</v>
      </c>
      <c r="B233" s="28">
        <f>CONCATENATE("0x",DEC2HEX(A233,4))</f>
        <v/>
      </c>
      <c r="C233" s="134" t="n"/>
      <c r="D233" s="28" t="inlineStr">
        <is>
          <t>PAD_FUNC_SEL_Byte_15</t>
        </is>
      </c>
      <c r="E233" s="58" t="n"/>
      <c r="F233" s="58" t="n"/>
      <c r="G233" s="58" t="n"/>
      <c r="H233" s="58" t="n"/>
      <c r="I233" s="30" t="inlineStr">
        <is>
          <t>pad_P15_func_sel</t>
        </is>
      </c>
      <c r="J233" s="135" t="n"/>
      <c r="K233" s="135" t="n"/>
      <c r="L233" s="132" t="n"/>
      <c r="M233" t="inlineStr">
        <is>
          <t>0x00</t>
        </is>
      </c>
    </row>
    <row r="234">
      <c r="A234" s="28" t="n">
        <v>232</v>
      </c>
      <c r="B234" s="28">
        <f>CONCATENATE("0x",DEC2HEX(A234,4))</f>
        <v/>
      </c>
      <c r="C234" s="28" t="inlineStr">
        <is>
          <t>PAD_FUNC_SEL_WADDR_4</t>
        </is>
      </c>
      <c r="D234" s="28" t="inlineStr">
        <is>
          <t>PAD_FUNC_SEL_Byte_16</t>
        </is>
      </c>
      <c r="E234" s="58" t="n"/>
      <c r="F234" s="58" t="n"/>
      <c r="G234" s="58" t="n"/>
      <c r="H234" s="58" t="n"/>
      <c r="I234" s="30" t="inlineStr">
        <is>
          <t>pad_P16_func_sel</t>
        </is>
      </c>
      <c r="J234" s="135" t="n"/>
      <c r="K234" s="135" t="n"/>
      <c r="L234" s="132" t="n"/>
      <c r="M234" t="inlineStr">
        <is>
          <t>0x00</t>
        </is>
      </c>
    </row>
    <row r="235">
      <c r="A235" s="28" t="n">
        <v>233</v>
      </c>
      <c r="B235" s="28">
        <f>CONCATENATE("0x",DEC2HEX(A235,4))</f>
        <v/>
      </c>
      <c r="C235" s="133" t="n"/>
      <c r="D235" s="28" t="inlineStr">
        <is>
          <t>PAD_FUNC_SEL_Byte_17</t>
        </is>
      </c>
      <c r="E235" s="58" t="n"/>
      <c r="F235" s="58" t="n"/>
      <c r="G235" s="58" t="n"/>
      <c r="H235" s="58" t="n"/>
      <c r="I235" s="30" t="inlineStr">
        <is>
          <t>pad_P17_func_sel</t>
        </is>
      </c>
      <c r="J235" s="135" t="n"/>
      <c r="K235" s="135" t="n"/>
      <c r="L235" s="132" t="n"/>
      <c r="M235" t="inlineStr">
        <is>
          <t>0x00</t>
        </is>
      </c>
    </row>
    <row r="236">
      <c r="A236" s="28" t="n">
        <v>234</v>
      </c>
      <c r="B236" s="28">
        <f>CONCATENATE("0x",DEC2HEX(A236,4))</f>
        <v/>
      </c>
      <c r="C236" s="133" t="n"/>
      <c r="D236" s="28" t="inlineStr">
        <is>
          <t>PAD_FUNC_SEL_Byte_18</t>
        </is>
      </c>
      <c r="E236" s="58" t="n"/>
      <c r="F236" s="58" t="n"/>
      <c r="G236" s="58" t="n"/>
      <c r="H236" s="58" t="n"/>
      <c r="I236" s="30" t="inlineStr">
        <is>
          <t>pad_P18_func_sel</t>
        </is>
      </c>
      <c r="J236" s="135" t="n"/>
      <c r="K236" s="135" t="n"/>
      <c r="L236" s="132" t="n"/>
      <c r="M236" t="inlineStr">
        <is>
          <t>0x00</t>
        </is>
      </c>
    </row>
    <row r="237">
      <c r="A237" s="28" t="n">
        <v>235</v>
      </c>
      <c r="B237" s="28">
        <f>CONCATENATE("0x",DEC2HEX(A237,4))</f>
        <v/>
      </c>
      <c r="C237" s="134" t="n"/>
      <c r="D237" s="28" t="inlineStr">
        <is>
          <t>PAD_FUNC_SEL_Byte_19</t>
        </is>
      </c>
      <c r="E237" s="58" t="n"/>
      <c r="F237" s="58" t="n"/>
      <c r="G237" s="58" t="n"/>
      <c r="H237" s="58" t="n"/>
      <c r="I237" s="30" t="inlineStr">
        <is>
          <t>pad_P19_func_sel</t>
        </is>
      </c>
      <c r="J237" s="135" t="n"/>
      <c r="K237" s="135" t="n"/>
      <c r="L237" s="132" t="n"/>
      <c r="M237" t="inlineStr">
        <is>
          <t>0x00</t>
        </is>
      </c>
    </row>
    <row r="238">
      <c r="A238" s="28" t="n">
        <v>236</v>
      </c>
      <c r="B238" s="28">
        <f>CONCATENATE("0x",DEC2HEX(A238,4))</f>
        <v/>
      </c>
      <c r="C238" s="28" t="inlineStr">
        <is>
          <t>PAD_FUNC_SEL_WADDR_5</t>
        </is>
      </c>
      <c r="D238" s="28" t="inlineStr">
        <is>
          <t>PAD_FUNC_SEL_Byte_20</t>
        </is>
      </c>
      <c r="E238" s="58" t="n"/>
      <c r="F238" s="58" t="n"/>
      <c r="G238" s="58" t="n"/>
      <c r="H238" s="58" t="n"/>
      <c r="I238" s="30" t="inlineStr">
        <is>
          <t>pad_P20_func_sel</t>
        </is>
      </c>
      <c r="J238" s="135" t="n"/>
      <c r="K238" s="135" t="n"/>
      <c r="L238" s="132" t="n"/>
      <c r="M238" t="inlineStr">
        <is>
          <t>0x00</t>
        </is>
      </c>
    </row>
    <row r="239">
      <c r="A239" s="28" t="n">
        <v>237</v>
      </c>
      <c r="B239" s="28">
        <f>CONCATENATE("0x",DEC2HEX(A239,4))</f>
        <v/>
      </c>
      <c r="C239" s="133" t="n"/>
      <c r="D239" s="28" t="inlineStr">
        <is>
          <t>PAD_FUNC_SEL_Byte_21</t>
        </is>
      </c>
      <c r="E239" s="58" t="n"/>
      <c r="F239" s="58" t="n"/>
      <c r="G239" s="58" t="n"/>
      <c r="H239" s="58" t="n"/>
      <c r="I239" s="30" t="inlineStr">
        <is>
          <t>pad_P21_func_sel</t>
        </is>
      </c>
      <c r="J239" s="135" t="n"/>
      <c r="K239" s="135" t="n"/>
      <c r="L239" s="132" t="n"/>
      <c r="M239" t="inlineStr">
        <is>
          <t>0x00</t>
        </is>
      </c>
    </row>
    <row r="240">
      <c r="A240" s="28" t="n">
        <v>238</v>
      </c>
      <c r="B240" s="28">
        <f>CONCATENATE("0x",DEC2HEX(A240,4))</f>
        <v/>
      </c>
      <c r="C240" s="133" t="n"/>
      <c r="D240" s="28" t="inlineStr">
        <is>
          <t>PAD_FUNC_SEL_Byte_22</t>
        </is>
      </c>
      <c r="E240" s="58" t="n"/>
      <c r="F240" s="58" t="n"/>
      <c r="G240" s="58" t="n"/>
      <c r="H240" s="58" t="n"/>
      <c r="I240" s="30" t="inlineStr">
        <is>
          <t>pad_P22_func_sel</t>
        </is>
      </c>
      <c r="J240" s="135" t="n"/>
      <c r="K240" s="135" t="n"/>
      <c r="L240" s="132" t="n"/>
      <c r="M240" t="inlineStr">
        <is>
          <t>0x00</t>
        </is>
      </c>
    </row>
    <row r="241">
      <c r="A241" s="28" t="n">
        <v>239</v>
      </c>
      <c r="B241" s="28">
        <f>CONCATENATE("0x",DEC2HEX(A241,4))</f>
        <v/>
      </c>
      <c r="C241" s="134" t="n"/>
      <c r="D241" s="28" t="inlineStr">
        <is>
          <t>PAD_FUNC_SEL_Byte_23</t>
        </is>
      </c>
      <c r="E241" s="58" t="n"/>
      <c r="F241" s="58" t="n"/>
      <c r="G241" s="58" t="n"/>
      <c r="H241" s="58" t="n"/>
      <c r="I241" s="30" t="inlineStr">
        <is>
          <t>pad_P23_func_sel</t>
        </is>
      </c>
      <c r="J241" s="135" t="n"/>
      <c r="K241" s="135" t="n"/>
      <c r="L241" s="132" t="n"/>
      <c r="M241" t="inlineStr">
        <is>
          <t>0x00</t>
        </is>
      </c>
    </row>
    <row r="242">
      <c r="A242" s="28" t="n">
        <v>240</v>
      </c>
      <c r="B242" s="28">
        <f>CONCATENATE("0x",DEC2HEX(A242,4))</f>
        <v/>
      </c>
      <c r="C242" s="28" t="inlineStr">
        <is>
          <t>PAD_FUNC_SEL_WADDR_6</t>
        </is>
      </c>
      <c r="D242" s="28" t="inlineStr">
        <is>
          <t>PAD_FUNC_SEL_Byte_24</t>
        </is>
      </c>
      <c r="E242" s="58" t="n"/>
      <c r="F242" s="58" t="n"/>
      <c r="G242" s="58" t="n"/>
      <c r="H242" s="58" t="n"/>
      <c r="I242" s="30" t="inlineStr">
        <is>
          <t>pad_P24_func_sel</t>
        </is>
      </c>
      <c r="J242" s="135" t="n"/>
      <c r="K242" s="135" t="n"/>
      <c r="L242" s="132" t="n"/>
      <c r="M242" t="inlineStr">
        <is>
          <t>0x00</t>
        </is>
      </c>
    </row>
    <row r="243">
      <c r="A243" s="28" t="n">
        <v>241</v>
      </c>
      <c r="B243" s="28">
        <f>CONCATENATE("0x",DEC2HEX(A243,4))</f>
        <v/>
      </c>
      <c r="C243" s="133" t="n"/>
      <c r="D243" s="28" t="inlineStr">
        <is>
          <t>PAD_FUNC_SEL_Byte_25</t>
        </is>
      </c>
      <c r="E243" s="58" t="n"/>
      <c r="F243" s="58" t="n"/>
      <c r="G243" s="58" t="n"/>
      <c r="H243" s="58" t="n"/>
      <c r="I243" s="30" t="inlineStr">
        <is>
          <t>pad_P25_func_sel</t>
        </is>
      </c>
      <c r="J243" s="135" t="n"/>
      <c r="K243" s="135" t="n"/>
      <c r="L243" s="132" t="n"/>
      <c r="M243" t="inlineStr">
        <is>
          <t>0x00</t>
        </is>
      </c>
    </row>
    <row r="244">
      <c r="A244" s="28" t="n">
        <v>242</v>
      </c>
      <c r="B244" s="28">
        <f>CONCATENATE("0x",DEC2HEX(A244,4))</f>
        <v/>
      </c>
      <c r="C244" s="133" t="n"/>
      <c r="D244" s="28" t="inlineStr">
        <is>
          <t>PAD_FUNC_SEL_Byte_26</t>
        </is>
      </c>
      <c r="E244" s="58" t="n"/>
      <c r="F244" s="58" t="n"/>
      <c r="G244" s="58" t="n"/>
      <c r="H244" s="58" t="n"/>
      <c r="I244" s="30" t="inlineStr">
        <is>
          <t>pad_P26_func_sel</t>
        </is>
      </c>
      <c r="J244" s="135" t="n"/>
      <c r="K244" s="135" t="n"/>
      <c r="L244" s="132" t="n"/>
      <c r="M244" t="inlineStr">
        <is>
          <t>0x00</t>
        </is>
      </c>
    </row>
    <row r="245">
      <c r="A245" s="28" t="n">
        <v>243</v>
      </c>
      <c r="B245" s="28">
        <f>CONCATENATE("0x",DEC2HEX(A245,4))</f>
        <v/>
      </c>
      <c r="C245" s="134" t="n"/>
      <c r="D245" s="28" t="inlineStr">
        <is>
          <t>PAD_FUNC_SEL_Byte_27</t>
        </is>
      </c>
      <c r="E245" s="58" t="n"/>
      <c r="F245" s="58" t="n"/>
      <c r="G245" s="58" t="n"/>
      <c r="H245" s="58" t="n"/>
      <c r="I245" s="30" t="inlineStr">
        <is>
          <t>pad_P27_func_sel</t>
        </is>
      </c>
      <c r="J245" s="135" t="n"/>
      <c r="K245" s="135" t="n"/>
      <c r="L245" s="132" t="n"/>
      <c r="M245" t="inlineStr">
        <is>
          <t>0x00</t>
        </is>
      </c>
    </row>
    <row r="246">
      <c r="A246" s="28" t="n">
        <v>244</v>
      </c>
      <c r="B246" s="28">
        <f>CONCATENATE("0x",DEC2HEX(A246,4))</f>
        <v/>
      </c>
      <c r="C246" s="28" t="inlineStr">
        <is>
          <t>PAD_FUNC_SEL_WADDR_7</t>
        </is>
      </c>
      <c r="D246" s="28" t="inlineStr">
        <is>
          <t>PAD_FUNC_SEL_Byte_28</t>
        </is>
      </c>
      <c r="E246" s="58" t="n"/>
      <c r="F246" s="58" t="n"/>
      <c r="G246" s="58" t="n"/>
      <c r="H246" s="58" t="n"/>
      <c r="I246" s="30" t="inlineStr">
        <is>
          <t>pad_P28_func_sel</t>
        </is>
      </c>
      <c r="J246" s="135" t="n"/>
      <c r="K246" s="135" t="n"/>
      <c r="L246" s="132" t="n"/>
      <c r="M246" t="inlineStr">
        <is>
          <t>0x00</t>
        </is>
      </c>
    </row>
    <row r="247">
      <c r="A247" s="28" t="n">
        <v>245</v>
      </c>
      <c r="B247" s="28">
        <f>CONCATENATE("0x",DEC2HEX(A247,4))</f>
        <v/>
      </c>
      <c r="C247" s="133" t="n"/>
      <c r="D247" s="28" t="inlineStr">
        <is>
          <t>PAD_FUNC_SEL_Byte_29</t>
        </is>
      </c>
      <c r="E247" s="58" t="n"/>
      <c r="F247" s="58" t="n"/>
      <c r="G247" s="58" t="n"/>
      <c r="H247" s="58" t="n"/>
      <c r="I247" s="30" t="inlineStr">
        <is>
          <t>pad_P29_func_sel</t>
        </is>
      </c>
      <c r="J247" s="135" t="n"/>
      <c r="K247" s="135" t="n"/>
      <c r="L247" s="132" t="n"/>
      <c r="M247" t="inlineStr">
        <is>
          <t>0x00</t>
        </is>
      </c>
    </row>
    <row r="248">
      <c r="A248" s="28" t="n">
        <v>246</v>
      </c>
      <c r="B248" s="28">
        <f>CONCATENATE("0x",DEC2HEX(A248,4))</f>
        <v/>
      </c>
      <c r="C248" s="133" t="n"/>
      <c r="D248" s="28" t="inlineStr">
        <is>
          <t>PAD_FUNC_SEL_Byte_30</t>
        </is>
      </c>
      <c r="E248" s="58" t="n"/>
      <c r="F248" s="58" t="n"/>
      <c r="G248" s="58" t="n"/>
      <c r="H248" s="58" t="n"/>
      <c r="I248" s="30" t="inlineStr">
        <is>
          <t>pad_P30_func_sel</t>
        </is>
      </c>
      <c r="J248" s="135" t="n"/>
      <c r="K248" s="135" t="n"/>
      <c r="L248" s="132" t="n"/>
      <c r="M248" t="inlineStr">
        <is>
          <t>0x00</t>
        </is>
      </c>
    </row>
    <row r="249">
      <c r="A249" s="28" t="n">
        <v>247</v>
      </c>
      <c r="B249" s="28">
        <f>CONCATENATE("0x",DEC2HEX(A249,4))</f>
        <v/>
      </c>
      <c r="C249" s="134" t="n"/>
      <c r="D249" s="28" t="inlineStr">
        <is>
          <t>PAD_FUNC_SEL_Byte_31</t>
        </is>
      </c>
      <c r="E249" s="58" t="n"/>
      <c r="F249" s="58" t="n"/>
      <c r="G249" s="58" t="n"/>
      <c r="H249" s="58" t="n"/>
      <c r="I249" s="30" t="inlineStr">
        <is>
          <t>pad_P31_func_sel</t>
        </is>
      </c>
      <c r="J249" s="135" t="n"/>
      <c r="K249" s="135" t="n"/>
      <c r="L249" s="132" t="n"/>
      <c r="M249" t="inlineStr">
        <is>
          <t>0x00</t>
        </is>
      </c>
    </row>
    <row r="250">
      <c r="A250" s="28" t="n">
        <v>248</v>
      </c>
      <c r="B250" s="28">
        <f>CONCATENATE("0x",DEC2HEX(A250,4))</f>
        <v/>
      </c>
      <c r="C250" s="28" t="inlineStr">
        <is>
          <t>PAD_FUNC_SEL_WADDR_8</t>
        </is>
      </c>
      <c r="D250" s="28" t="inlineStr">
        <is>
          <t>PAD_FUNC_SEL_Byte_32</t>
        </is>
      </c>
      <c r="E250" s="58" t="n"/>
      <c r="F250" s="58" t="n"/>
      <c r="G250" s="58" t="n"/>
      <c r="H250" s="58" t="n"/>
      <c r="I250" s="30" t="inlineStr">
        <is>
          <t>pad_P32_func_sel</t>
        </is>
      </c>
      <c r="J250" s="135" t="n"/>
      <c r="K250" s="135" t="n"/>
      <c r="L250" s="132" t="n"/>
      <c r="M250" t="inlineStr">
        <is>
          <t>0x00</t>
        </is>
      </c>
    </row>
    <row r="251">
      <c r="A251" s="28" t="n">
        <v>249</v>
      </c>
      <c r="B251" s="28">
        <f>CONCATENATE("0x",DEC2HEX(A251,4))</f>
        <v/>
      </c>
      <c r="C251" s="133" t="n"/>
      <c r="D251" s="28" t="inlineStr">
        <is>
          <t>PAD_FUNC_SEL_Byte_33</t>
        </is>
      </c>
      <c r="E251" s="58" t="n"/>
      <c r="F251" s="58" t="n"/>
      <c r="G251" s="58" t="n"/>
      <c r="H251" s="58" t="n"/>
      <c r="I251" s="30" t="inlineStr">
        <is>
          <t>pad_P33_func_sel</t>
        </is>
      </c>
      <c r="J251" s="135" t="n"/>
      <c r="K251" s="135" t="n"/>
      <c r="L251" s="132" t="n"/>
      <c r="M251" t="inlineStr">
        <is>
          <t>0x00</t>
        </is>
      </c>
    </row>
    <row r="252">
      <c r="A252" s="28" t="n">
        <v>250</v>
      </c>
      <c r="B252" s="28">
        <f>CONCATENATE("0x",DEC2HEX(A252,4))</f>
        <v/>
      </c>
      <c r="C252" s="133" t="n"/>
      <c r="D252" s="28" t="inlineStr">
        <is>
          <t>PAD_FUNC_SEL_Byte_34</t>
        </is>
      </c>
      <c r="E252" s="58" t="n"/>
      <c r="F252" s="58" t="n"/>
      <c r="G252" s="58" t="n"/>
      <c r="H252" s="58" t="n"/>
      <c r="I252" s="30" t="inlineStr">
        <is>
          <t>pad_P34_func_sel</t>
        </is>
      </c>
      <c r="J252" s="135" t="n"/>
      <c r="K252" s="135" t="n"/>
      <c r="L252" s="132" t="n"/>
      <c r="M252" t="inlineStr">
        <is>
          <t>0x00</t>
        </is>
      </c>
    </row>
    <row r="253">
      <c r="A253" s="28" t="n">
        <v>251</v>
      </c>
      <c r="B253" s="28">
        <f>CONCATENATE("0x",DEC2HEX(A253,4))</f>
        <v/>
      </c>
      <c r="C253" s="134" t="n"/>
      <c r="D253" s="28" t="inlineStr">
        <is>
          <t>PAD_FUNC_SEL_Byte_35</t>
        </is>
      </c>
      <c r="E253" s="58" t="n"/>
      <c r="F253" s="58" t="n"/>
      <c r="G253" s="58" t="n"/>
      <c r="H253" s="58" t="n"/>
      <c r="I253" s="30" t="inlineStr">
        <is>
          <t>pad_P35_func_sel</t>
        </is>
      </c>
      <c r="J253" s="135" t="n"/>
      <c r="K253" s="135" t="n"/>
      <c r="L253" s="132" t="n"/>
      <c r="M253" t="inlineStr">
        <is>
          <t>0x00</t>
        </is>
      </c>
    </row>
    <row r="254">
      <c r="A254" s="28" t="n">
        <v>252</v>
      </c>
      <c r="B254" s="28">
        <f>CONCATENATE("0x",DEC2HEX(A254,4))</f>
        <v/>
      </c>
      <c r="C254" s="28" t="inlineStr">
        <is>
          <t>extra_clk_cfg_WADDR_0</t>
        </is>
      </c>
      <c r="D254" s="28" t="inlineStr">
        <is>
          <t>pmu_chop_Byte_0</t>
        </is>
      </c>
      <c r="E254" s="30" t="inlineStr">
        <is>
          <t>pmu_chop_half_period</t>
        </is>
      </c>
      <c r="F254" s="135" t="n"/>
      <c r="G254" s="135" t="n"/>
      <c r="H254" s="135" t="n"/>
      <c r="I254" s="135" t="n"/>
      <c r="J254" s="135" t="n"/>
      <c r="K254" s="135" t="n"/>
      <c r="L254" s="132" t="n"/>
      <c r="M254" t="inlineStr">
        <is>
          <t>0x00</t>
        </is>
      </c>
    </row>
    <row r="255">
      <c r="A255" s="28" t="n">
        <v>253</v>
      </c>
      <c r="B255" s="28">
        <f>CONCATENATE("0x",DEC2HEX(A255,4))</f>
        <v/>
      </c>
      <c r="C255" s="133" t="n"/>
      <c r="D255" s="28" t="inlineStr">
        <is>
          <t>pmu_chop_Byte_1</t>
        </is>
      </c>
      <c r="E255" s="51" t="n"/>
      <c r="F255" s="51" t="n"/>
      <c r="G255" s="51" t="n"/>
      <c r="H255" s="51" t="n"/>
      <c r="I255" s="51" t="n"/>
      <c r="J255" s="30" t="inlineStr">
        <is>
          <t>pmu_chop_clk_sel</t>
        </is>
      </c>
      <c r="K255" s="132" t="n"/>
      <c r="L255" s="30" t="inlineStr">
        <is>
          <t>pmu_chop_en</t>
        </is>
      </c>
      <c r="M255" t="inlineStr">
        <is>
          <t>0x00</t>
        </is>
      </c>
    </row>
    <row r="256">
      <c r="A256" s="28" t="n">
        <v>254</v>
      </c>
      <c r="B256" s="28">
        <f>CONCATENATE("0x",DEC2HEX(A256,4))</f>
        <v/>
      </c>
      <c r="C256" s="133" t="n"/>
      <c r="D256" s="28" t="inlineStr">
        <is>
          <t>PLL_clk_sel_byte_0</t>
        </is>
      </c>
      <c r="E256" s="58" t="n"/>
      <c r="F256" s="58" t="n"/>
      <c r="G256" s="58" t="n"/>
      <c r="H256" s="58" t="n"/>
      <c r="I256" s="28" t="inlineStr">
        <is>
          <t>pll_clk_ext_sel</t>
        </is>
      </c>
      <c r="J256" s="132" t="n"/>
      <c r="K256" s="28" t="inlineStr">
        <is>
          <t>pll_clk_soc_sel</t>
        </is>
      </c>
      <c r="L256" s="132" t="n"/>
      <c r="M256" t="inlineStr">
        <is>
          <t>0x00</t>
        </is>
      </c>
    </row>
    <row r="257">
      <c r="A257" s="28" t="n">
        <v>255</v>
      </c>
      <c r="B257" s="28">
        <f>CONCATENATE("0x",DEC2HEX(A257,4))</f>
        <v/>
      </c>
      <c r="C257" s="134" t="n"/>
      <c r="D257" s="29" t="inlineStr">
        <is>
          <t>PLL_clk_sel_byte_1</t>
        </is>
      </c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t="inlineStr">
        <is>
          <t>0x00</t>
        </is>
      </c>
    </row>
    <row r="258">
      <c r="A258" s="28" t="n">
        <v>256</v>
      </c>
      <c r="B258" s="28">
        <f>CONCATENATE("0x",DEC2HEX(A258,4))</f>
        <v/>
      </c>
      <c r="C258" s="28" t="inlineStr">
        <is>
          <t>extra_clk_cfg_WADDR_1</t>
        </is>
      </c>
      <c r="D258" s="28" t="inlineStr">
        <is>
          <t>adc_clk_sel_byte_0</t>
        </is>
      </c>
      <c r="E258" s="30" t="inlineStr">
        <is>
          <t>adc_clk_half_period</t>
        </is>
      </c>
      <c r="F258" s="135" t="n"/>
      <c r="G258" s="135" t="n"/>
      <c r="H258" s="135" t="n"/>
      <c r="I258" s="135" t="n"/>
      <c r="J258" s="135" t="n"/>
      <c r="K258" s="135" t="n"/>
      <c r="L258" s="132" t="n"/>
      <c r="M258" t="inlineStr">
        <is>
          <t>0x00</t>
        </is>
      </c>
    </row>
    <row r="259">
      <c r="A259" s="28" t="n">
        <v>257</v>
      </c>
      <c r="B259" s="28">
        <f>CONCATENATE("0x",DEC2HEX(A259,4))</f>
        <v/>
      </c>
      <c r="C259" s="133" t="n"/>
      <c r="D259" s="28" t="inlineStr">
        <is>
          <t>adc_clk_sel_byte_1</t>
        </is>
      </c>
      <c r="E259" s="58" t="n"/>
      <c r="F259" s="58" t="n"/>
      <c r="G259" s="58" t="n"/>
      <c r="H259" s="58" t="n"/>
      <c r="I259" s="58" t="n"/>
      <c r="J259" s="28" t="inlineStr">
        <is>
          <t>adc_clk_sel</t>
        </is>
      </c>
      <c r="K259" s="132" t="n"/>
      <c r="L259" s="30" t="inlineStr">
        <is>
          <t>adc_clk_en</t>
        </is>
      </c>
      <c r="M259" t="inlineStr">
        <is>
          <t>0x00</t>
        </is>
      </c>
    </row>
    <row r="260">
      <c r="A260" s="28" t="n">
        <v>258</v>
      </c>
      <c r="B260" s="28">
        <f>CONCATENATE("0x",DEC2HEX(A260,4))</f>
        <v/>
      </c>
      <c r="C260" s="133" t="n"/>
      <c r="D260" s="28" t="inlineStr">
        <is>
          <t>adc_clk_sel_byte_2</t>
        </is>
      </c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t="inlineStr">
        <is>
          <t>0x00</t>
        </is>
      </c>
    </row>
    <row r="261">
      <c r="A261" s="28" t="n">
        <v>259</v>
      </c>
      <c r="B261" s="28">
        <f>CONCATENATE("0x",DEC2HEX(A261,4))</f>
        <v/>
      </c>
      <c r="C261" s="134" t="n"/>
      <c r="D261" s="28" t="inlineStr">
        <is>
          <t>adc_clk_sel_byte_3</t>
        </is>
      </c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t="inlineStr">
        <is>
          <t>0x00</t>
        </is>
      </c>
    </row>
    <row r="262">
      <c r="A262" s="28" t="n">
        <v>260</v>
      </c>
      <c r="B262" s="28">
        <f>CONCATENATE("0x",DEC2HEX(A262,4))</f>
        <v/>
      </c>
      <c r="C262" s="28" t="inlineStr">
        <is>
          <t>cvr_WADDR</t>
        </is>
      </c>
      <c r="D262" s="28" t="inlineStr">
        <is>
          <t>cvr_byte_0</t>
        </is>
      </c>
      <c r="E262" s="58" t="n"/>
      <c r="F262" s="58" t="n"/>
      <c r="G262" s="58" t="n"/>
      <c r="H262" s="58" t="n"/>
      <c r="I262" s="30" t="inlineStr">
        <is>
          <t>cvr_inst_CVRREG</t>
        </is>
      </c>
      <c r="J262" s="135" t="n"/>
      <c r="K262" s="135" t="n"/>
      <c r="L262" s="132" t="n"/>
      <c r="M262" t="inlineStr">
        <is>
          <t>0x00</t>
        </is>
      </c>
    </row>
    <row r="263">
      <c r="A263" s="28" t="n">
        <v>261</v>
      </c>
      <c r="B263" s="28">
        <f>CONCATENATE("0x",DEC2HEX(A263,4))</f>
        <v/>
      </c>
      <c r="C263" s="133" t="n"/>
      <c r="D263" s="28" t="inlineStr">
        <is>
          <t>cvr_byte_1</t>
        </is>
      </c>
      <c r="E263" s="58" t="n"/>
      <c r="F263" s="58" t="n"/>
      <c r="G263" s="58" t="n"/>
      <c r="H263" s="58" t="n"/>
      <c r="I263" s="30" t="inlineStr">
        <is>
          <t>cvr_inst_CVRSEL</t>
        </is>
      </c>
      <c r="J263" s="135" t="n"/>
      <c r="K263" s="135" t="n"/>
      <c r="L263" s="132" t="n"/>
      <c r="M263" t="inlineStr">
        <is>
          <t>0x00</t>
        </is>
      </c>
    </row>
    <row r="264">
      <c r="A264" s="28" t="n">
        <v>262</v>
      </c>
      <c r="B264" s="28">
        <f>CONCATENATE("0x",DEC2HEX(A264,4))</f>
        <v/>
      </c>
      <c r="C264" s="133" t="n"/>
      <c r="D264" s="28" t="inlineStr">
        <is>
          <t>cvr_byte_2</t>
        </is>
      </c>
      <c r="E264" s="58" t="n"/>
      <c r="F264" s="58" t="n"/>
      <c r="G264" s="58" t="n"/>
      <c r="H264" s="58" t="n"/>
      <c r="I264" s="58" t="n"/>
      <c r="J264" s="58" t="n"/>
      <c r="K264" s="58" t="n"/>
      <c r="L264" s="30" t="inlineStr">
        <is>
          <t>cvr_inst_CVREN</t>
        </is>
      </c>
      <c r="M264" t="inlineStr">
        <is>
          <t>0x00</t>
        </is>
      </c>
    </row>
    <row r="265">
      <c r="A265" s="28" t="n">
        <v>263</v>
      </c>
      <c r="B265" s="28">
        <f>CONCATENATE("0x",DEC2HEX(A265,4))</f>
        <v/>
      </c>
      <c r="C265" s="134" t="n"/>
      <c r="D265" s="28" t="inlineStr">
        <is>
          <t>cvr_byte_3</t>
        </is>
      </c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t="inlineStr">
        <is>
          <t>0x00</t>
        </is>
      </c>
    </row>
    <row r="266">
      <c r="A266" s="28" t="n">
        <v>264</v>
      </c>
      <c r="B266" s="28">
        <f>CONCATENATE("0x",DEC2HEX(A266,4))</f>
        <v/>
      </c>
      <c r="C266" s="28" t="inlineStr">
        <is>
          <t>ulppmu_WADDR</t>
        </is>
      </c>
      <c r="D266" s="28" t="inlineStr">
        <is>
          <t>ulppmu_byte_0</t>
        </is>
      </c>
      <c r="E266" s="58" t="n"/>
      <c r="F266" s="58" t="n"/>
      <c r="G266" s="58" t="n"/>
      <c r="H266" s="58" t="n"/>
      <c r="I266" s="58" t="n"/>
      <c r="J266" s="58" t="n"/>
      <c r="K266" s="58" t="inlineStr">
        <is>
          <t>ulppmu_inst_L_LPM</t>
        </is>
      </c>
      <c r="L266" s="58" t="inlineStr">
        <is>
          <t>ulppmu_inst_L_INIB</t>
        </is>
      </c>
      <c r="M266" t="inlineStr">
        <is>
          <t>0x00</t>
        </is>
      </c>
    </row>
    <row r="267">
      <c r="A267" s="28" t="n">
        <v>265</v>
      </c>
      <c r="B267" s="28">
        <f>CONCATENATE("0x",DEC2HEX(A267,4))</f>
        <v/>
      </c>
      <c r="C267" s="133" t="n"/>
      <c r="D267" s="28" t="inlineStr">
        <is>
          <t>ulppmu_byte_1</t>
        </is>
      </c>
      <c r="E267" s="58" t="n"/>
      <c r="F267" s="58" t="n"/>
      <c r="G267" s="58" t="n"/>
      <c r="H267" s="58" t="n"/>
      <c r="I267" s="58" t="n"/>
      <c r="J267" s="30" t="inlineStr">
        <is>
          <t>ulppmu_inst_L_VR[0x4]</t>
        </is>
      </c>
      <c r="K267" s="135" t="n"/>
      <c r="L267" s="132" t="n"/>
      <c r="M267" t="inlineStr">
        <is>
          <t>0x04</t>
        </is>
      </c>
    </row>
    <row r="268">
      <c r="A268" s="28" t="n">
        <v>266</v>
      </c>
      <c r="B268" s="28">
        <f>CONCATENATE("0x",DEC2HEX(A268,4))</f>
        <v/>
      </c>
      <c r="C268" s="133" t="n"/>
      <c r="D268" s="28" t="inlineStr">
        <is>
          <t>ulppmu_byte_2</t>
        </is>
      </c>
      <c r="E268" s="58" t="n"/>
      <c r="F268" s="58" t="n"/>
      <c r="G268" s="30" t="inlineStr">
        <is>
          <t>ulppmu_inst_L_VT[0x20]</t>
        </is>
      </c>
      <c r="H268" s="135" t="n"/>
      <c r="I268" s="135" t="n"/>
      <c r="J268" s="135" t="n"/>
      <c r="K268" s="135" t="n"/>
      <c r="L268" s="132" t="n"/>
      <c r="M268" t="inlineStr">
        <is>
          <t>0x20</t>
        </is>
      </c>
    </row>
    <row r="269">
      <c r="A269" s="28" t="n">
        <v>267</v>
      </c>
      <c r="B269" s="28">
        <f>CONCATENATE("0x",DEC2HEX(A269,4))</f>
        <v/>
      </c>
      <c r="C269" s="134" t="n"/>
      <c r="D269" s="28" t="inlineStr">
        <is>
          <t>ulppmu_byte_3</t>
        </is>
      </c>
      <c r="E269" s="58" t="n"/>
      <c r="F269" s="58" t="n"/>
      <c r="G269" s="58" t="n"/>
      <c r="H269" s="58" t="n"/>
      <c r="I269" s="58" t="n"/>
      <c r="J269" s="58" t="n"/>
      <c r="K269" s="58" t="n"/>
      <c r="L269" s="28" t="inlineStr">
        <is>
          <t>ulppmu_inst_rstn_por_lv</t>
        </is>
      </c>
      <c r="M269" t="inlineStr">
        <is>
          <t>0x00</t>
        </is>
      </c>
    </row>
  </sheetData>
  <mergeCells count="267">
    <mergeCell ref="E214:L214"/>
    <mergeCell ref="E58:L58"/>
    <mergeCell ref="C98:C101"/>
    <mergeCell ref="C14:C17"/>
    <mergeCell ref="I219:L219"/>
    <mergeCell ref="C154:C157"/>
    <mergeCell ref="C210:C213"/>
    <mergeCell ref="F76:H76"/>
    <mergeCell ref="I247:L247"/>
    <mergeCell ref="E106:L106"/>
    <mergeCell ref="I180:L180"/>
    <mergeCell ref="E204:L204"/>
    <mergeCell ref="C266:C269"/>
    <mergeCell ref="I249:L249"/>
    <mergeCell ref="C162:C165"/>
    <mergeCell ref="I262:L262"/>
    <mergeCell ref="C218:C221"/>
    <mergeCell ref="C30:C33"/>
    <mergeCell ref="I252:L252"/>
    <mergeCell ref="E188:L188"/>
    <mergeCell ref="E141:L141"/>
    <mergeCell ref="E254:L254"/>
    <mergeCell ref="C54:C57"/>
    <mergeCell ref="E35:L35"/>
    <mergeCell ref="E206:L206"/>
    <mergeCell ref="H56:L56"/>
    <mergeCell ref="I246:L246"/>
    <mergeCell ref="E215:L215"/>
    <mergeCell ref="C146:C149"/>
    <mergeCell ref="G14:L14"/>
    <mergeCell ref="E107:L107"/>
    <mergeCell ref="E138:L138"/>
    <mergeCell ref="C94:C97"/>
    <mergeCell ref="E190:L190"/>
    <mergeCell ref="E205:L205"/>
    <mergeCell ref="E60:L60"/>
    <mergeCell ref="C242:C245"/>
    <mergeCell ref="E78:L78"/>
    <mergeCell ref="E149:L149"/>
    <mergeCell ref="E30:L30"/>
    <mergeCell ref="E114:L114"/>
    <mergeCell ref="I225:L225"/>
    <mergeCell ref="E59:L59"/>
    <mergeCell ref="I237:L237"/>
    <mergeCell ref="E6:L6"/>
    <mergeCell ref="K42:L42"/>
    <mergeCell ref="E133:L133"/>
    <mergeCell ref="C2:C5"/>
    <mergeCell ref="E216:L216"/>
    <mergeCell ref="E191:L191"/>
    <mergeCell ref="J255:K255"/>
    <mergeCell ref="C82:C85"/>
    <mergeCell ref="E61:L61"/>
    <mergeCell ref="J29:L29"/>
    <mergeCell ref="I239:L239"/>
    <mergeCell ref="C66:C69"/>
    <mergeCell ref="E162:L162"/>
    <mergeCell ref="I18:L18"/>
    <mergeCell ref="C102:C105"/>
    <mergeCell ref="I223:L223"/>
    <mergeCell ref="I238:L238"/>
    <mergeCell ref="E125:L125"/>
    <mergeCell ref="G268:L268"/>
    <mergeCell ref="C34:C37"/>
    <mergeCell ref="E159:L159"/>
    <mergeCell ref="E208:L208"/>
    <mergeCell ref="G84:H84"/>
    <mergeCell ref="C86:C89"/>
    <mergeCell ref="E217:L217"/>
    <mergeCell ref="J40:L40"/>
    <mergeCell ref="E109:L109"/>
    <mergeCell ref="J181:K181"/>
    <mergeCell ref="C254:C257"/>
    <mergeCell ref="E258:L258"/>
    <mergeCell ref="I236:L236"/>
    <mergeCell ref="E139:L139"/>
    <mergeCell ref="J73:K73"/>
    <mergeCell ref="I250:L250"/>
    <mergeCell ref="I110:L110"/>
    <mergeCell ref="I235:L235"/>
    <mergeCell ref="C42:C45"/>
    <mergeCell ref="E85:H85"/>
    <mergeCell ref="J70:L70"/>
    <mergeCell ref="E195:L195"/>
    <mergeCell ref="J259:K259"/>
    <mergeCell ref="E98:L98"/>
    <mergeCell ref="E203:L203"/>
    <mergeCell ref="G74:L74"/>
    <mergeCell ref="E131:L131"/>
    <mergeCell ref="I84:L84"/>
    <mergeCell ref="E88:L88"/>
    <mergeCell ref="C22:C25"/>
    <mergeCell ref="E82:L82"/>
    <mergeCell ref="E140:L140"/>
    <mergeCell ref="C202:C205"/>
    <mergeCell ref="C246:C249"/>
    <mergeCell ref="I32:J32"/>
    <mergeCell ref="E1:L1"/>
    <mergeCell ref="K32:L32"/>
    <mergeCell ref="C230:C233"/>
    <mergeCell ref="J267:L267"/>
    <mergeCell ref="C134:C137"/>
    <mergeCell ref="I86:L86"/>
    <mergeCell ref="C226:C229"/>
    <mergeCell ref="E34:L34"/>
    <mergeCell ref="E48:H48"/>
    <mergeCell ref="C114:C117"/>
    <mergeCell ref="E157:L157"/>
    <mergeCell ref="C70:C73"/>
    <mergeCell ref="E166:L166"/>
    <mergeCell ref="G33:H33"/>
    <mergeCell ref="I228:L228"/>
    <mergeCell ref="C46:C49"/>
    <mergeCell ref="C106:C109"/>
    <mergeCell ref="I242:L242"/>
    <mergeCell ref="E2:L2"/>
    <mergeCell ref="C138:C141"/>
    <mergeCell ref="E207:L207"/>
    <mergeCell ref="I7:L7"/>
    <mergeCell ref="H57:L57"/>
    <mergeCell ref="C178:C181"/>
    <mergeCell ref="I134:L134"/>
    <mergeCell ref="E116:L116"/>
    <mergeCell ref="I243:L243"/>
    <mergeCell ref="E168:L168"/>
    <mergeCell ref="E100:L100"/>
    <mergeCell ref="J28:L28"/>
    <mergeCell ref="E22:L22"/>
    <mergeCell ref="E115:L115"/>
    <mergeCell ref="E193:L193"/>
    <mergeCell ref="E199:L199"/>
    <mergeCell ref="I224:L224"/>
    <mergeCell ref="I226:L226"/>
    <mergeCell ref="K16:L16"/>
    <mergeCell ref="K68:L68"/>
    <mergeCell ref="K83:L83"/>
    <mergeCell ref="C74:C77"/>
    <mergeCell ref="E192:L192"/>
    <mergeCell ref="C126:C129"/>
    <mergeCell ref="I241:L241"/>
    <mergeCell ref="I253:L253"/>
    <mergeCell ref="C166:C169"/>
    <mergeCell ref="E122:L122"/>
    <mergeCell ref="I231:L231"/>
    <mergeCell ref="F32:H32"/>
    <mergeCell ref="C58:C61"/>
    <mergeCell ref="I240:L240"/>
    <mergeCell ref="C206:C209"/>
    <mergeCell ref="I256:J256"/>
    <mergeCell ref="I19:L19"/>
    <mergeCell ref="E194:L194"/>
    <mergeCell ref="I179:J179"/>
    <mergeCell ref="E4:L4"/>
    <mergeCell ref="K11:L11"/>
    <mergeCell ref="E209:L209"/>
    <mergeCell ref="I9:L9"/>
    <mergeCell ref="E147:L147"/>
    <mergeCell ref="C118:C121"/>
    <mergeCell ref="E156:L156"/>
    <mergeCell ref="C50:C53"/>
    <mergeCell ref="I232:L232"/>
    <mergeCell ref="C142:C145"/>
    <mergeCell ref="E155:L155"/>
    <mergeCell ref="I251:L251"/>
    <mergeCell ref="E201:L201"/>
    <mergeCell ref="E90:L90"/>
    <mergeCell ref="E148:L148"/>
    <mergeCell ref="I126:L126"/>
    <mergeCell ref="E99:L99"/>
    <mergeCell ref="K71:L71"/>
    <mergeCell ref="G75:L75"/>
    <mergeCell ref="I218:L218"/>
    <mergeCell ref="I233:L233"/>
    <mergeCell ref="I227:L227"/>
    <mergeCell ref="J17:L17"/>
    <mergeCell ref="E197:L197"/>
    <mergeCell ref="I150:L150"/>
    <mergeCell ref="E154:L154"/>
    <mergeCell ref="I221:L221"/>
    <mergeCell ref="C38:C41"/>
    <mergeCell ref="C194:C197"/>
    <mergeCell ref="H87:L87"/>
    <mergeCell ref="H27:L27"/>
    <mergeCell ref="E101:L101"/>
    <mergeCell ref="I230:L230"/>
    <mergeCell ref="C122:C125"/>
    <mergeCell ref="E187:L187"/>
    <mergeCell ref="C78:C81"/>
    <mergeCell ref="E91:L91"/>
    <mergeCell ref="H15:L15"/>
    <mergeCell ref="E196:L196"/>
    <mergeCell ref="I263:L263"/>
    <mergeCell ref="C258:C261"/>
    <mergeCell ref="E46:H46"/>
    <mergeCell ref="C186:C189"/>
    <mergeCell ref="E189:L189"/>
    <mergeCell ref="I142:L142"/>
    <mergeCell ref="E146:L146"/>
    <mergeCell ref="E93:L93"/>
    <mergeCell ref="E178:H178"/>
    <mergeCell ref="E198:L198"/>
    <mergeCell ref="I229:L229"/>
    <mergeCell ref="C18:C21"/>
    <mergeCell ref="H26:L26"/>
    <mergeCell ref="E3:L3"/>
    <mergeCell ref="H53:L53"/>
    <mergeCell ref="E130:L130"/>
    <mergeCell ref="I8:L8"/>
    <mergeCell ref="C170:C173"/>
    <mergeCell ref="I79:L79"/>
    <mergeCell ref="E33:F33"/>
    <mergeCell ref="E117:L117"/>
    <mergeCell ref="I244:L244"/>
    <mergeCell ref="C26:C29"/>
    <mergeCell ref="F37:L37"/>
    <mergeCell ref="E160:L160"/>
    <mergeCell ref="C250:C253"/>
    <mergeCell ref="I245:L245"/>
    <mergeCell ref="E123:L123"/>
    <mergeCell ref="H55:L55"/>
    <mergeCell ref="E92:L92"/>
    <mergeCell ref="C234:C237"/>
    <mergeCell ref="E39:L39"/>
    <mergeCell ref="E132:L132"/>
    <mergeCell ref="C10:C13"/>
    <mergeCell ref="E200:L200"/>
    <mergeCell ref="K256:L256"/>
    <mergeCell ref="E43:H43"/>
    <mergeCell ref="I178:L178"/>
    <mergeCell ref="E38:L38"/>
    <mergeCell ref="F44:L44"/>
    <mergeCell ref="C214:C217"/>
    <mergeCell ref="E161:L161"/>
    <mergeCell ref="H36:L36"/>
    <mergeCell ref="I222:L222"/>
    <mergeCell ref="G51:L51"/>
    <mergeCell ref="E202:L202"/>
    <mergeCell ref="H52:L52"/>
    <mergeCell ref="E158:L158"/>
    <mergeCell ref="C198:C201"/>
    <mergeCell ref="C238:C241"/>
    <mergeCell ref="C90:C93"/>
    <mergeCell ref="I234:L234"/>
    <mergeCell ref="H23:L23"/>
    <mergeCell ref="E108:L108"/>
    <mergeCell ref="E186:L186"/>
    <mergeCell ref="C130:C133"/>
    <mergeCell ref="C182:C185"/>
    <mergeCell ref="C222:C225"/>
    <mergeCell ref="C262:C265"/>
    <mergeCell ref="C110:C113"/>
    <mergeCell ref="C150:C153"/>
    <mergeCell ref="C190:C193"/>
    <mergeCell ref="H183:L183"/>
    <mergeCell ref="F54:H54"/>
    <mergeCell ref="E124:L124"/>
    <mergeCell ref="I220:L220"/>
    <mergeCell ref="I102:L102"/>
    <mergeCell ref="C174:C177"/>
    <mergeCell ref="E41:L41"/>
    <mergeCell ref="I248:L248"/>
    <mergeCell ref="F179:G179"/>
    <mergeCell ref="C158:C161"/>
    <mergeCell ref="H68:J68"/>
    <mergeCell ref="C6:C9"/>
    <mergeCell ref="C62:C65"/>
    <mergeCell ref="I118:L118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T52"/>
  <sheetViews>
    <sheetView workbookViewId="0">
      <selection activeCell="P40" sqref="P40"/>
    </sheetView>
  </sheetViews>
  <sheetFormatPr baseColWidth="8" defaultColWidth="9" defaultRowHeight="14.25"/>
  <sheetData>
    <row r="1" ht="15.75" customHeight="1" s="26">
      <c r="A1" s="1" t="inlineStr">
        <is>
          <t>Pin number</t>
        </is>
      </c>
      <c r="B1" s="1" t="inlineStr">
        <is>
          <t>Net name</t>
        </is>
      </c>
      <c r="C1" s="2" t="n"/>
      <c r="D1" s="3" t="n"/>
      <c r="E1" s="4" t="n"/>
      <c r="F1" s="4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" t="n"/>
      <c r="T1" s="4" t="n"/>
    </row>
    <row r="2" ht="15" customHeight="1" s="26">
      <c r="A2" s="6" t="n">
        <v>1</v>
      </c>
      <c r="B2" s="6" t="inlineStr">
        <is>
          <t>V12M</t>
        </is>
      </c>
      <c r="C2" s="7" t="n"/>
      <c r="D2" s="4" t="n"/>
      <c r="E2" s="8" t="n"/>
      <c r="F2" s="8" t="n"/>
      <c r="G2" s="126">
        <f>VLOOKUP(G3,$A:$B,2,0)</f>
        <v/>
      </c>
      <c r="H2" s="126">
        <f>VLOOKUP(H3,$A:$B,2,0)</f>
        <v/>
      </c>
      <c r="I2" s="126">
        <f>VLOOKUP(I3,$A:$B,2,0)</f>
        <v/>
      </c>
      <c r="J2" s="126">
        <f>VLOOKUP(J3,$A:$B,2,0)</f>
        <v/>
      </c>
      <c r="K2" s="126">
        <f>VLOOKUP(K3,$A:$B,2,0)</f>
        <v/>
      </c>
      <c r="L2" s="126">
        <f>VLOOKUP(L3,$A:$B,2,0)</f>
        <v/>
      </c>
      <c r="M2" s="126">
        <f>VLOOKUP(M3,$A:$B,2,0)</f>
        <v/>
      </c>
      <c r="N2" s="10">
        <f>VLOOKUP(N3,$A:$B,2,0)</f>
        <v/>
      </c>
      <c r="O2" s="10">
        <f>VLOOKUP(O3,$A:$B,2,0)</f>
        <v/>
      </c>
      <c r="P2" s="126">
        <f>VLOOKUP(P3,$A:$B,2,0)</f>
        <v/>
      </c>
      <c r="Q2" s="126">
        <f>VLOOKUP(Q3,$A:$B,2,0)</f>
        <v/>
      </c>
      <c r="R2" s="126">
        <f>VLOOKUP(R3,$A:$B,2,0)</f>
        <v/>
      </c>
      <c r="S2" s="8" t="n"/>
      <c r="T2" s="8" t="n"/>
    </row>
    <row r="3" ht="15" customHeight="1" s="26">
      <c r="A3" s="11" t="n">
        <v>2</v>
      </c>
      <c r="B3" s="6" t="inlineStr">
        <is>
          <t>P0</t>
        </is>
      </c>
      <c r="C3" s="7" t="n"/>
      <c r="D3" s="4" t="n"/>
      <c r="E3" s="8" t="n"/>
      <c r="F3" s="8" t="n"/>
      <c r="G3" s="126" t="n">
        <v>48</v>
      </c>
      <c r="H3" s="126" t="n">
        <v>47</v>
      </c>
      <c r="I3" s="126" t="n">
        <v>46</v>
      </c>
      <c r="J3" s="126" t="n">
        <v>45</v>
      </c>
      <c r="K3" s="126" t="n">
        <v>44</v>
      </c>
      <c r="L3" s="126" t="n">
        <v>43</v>
      </c>
      <c r="M3" s="126" t="n">
        <v>42</v>
      </c>
      <c r="N3" s="126" t="n">
        <v>41</v>
      </c>
      <c r="O3" s="126" t="n">
        <v>40</v>
      </c>
      <c r="P3" s="126" t="n">
        <v>39</v>
      </c>
      <c r="Q3" s="126" t="n">
        <v>38</v>
      </c>
      <c r="R3" s="126" t="n">
        <v>37</v>
      </c>
      <c r="S3" s="8" t="n"/>
      <c r="T3" s="8" t="n"/>
    </row>
    <row r="4" ht="15" customHeight="1" s="26">
      <c r="A4" s="6" t="n">
        <v>3</v>
      </c>
      <c r="B4" s="6" t="inlineStr">
        <is>
          <t>P1</t>
        </is>
      </c>
      <c r="C4" s="7" t="n"/>
      <c r="D4" s="12" t="n"/>
      <c r="E4" s="126">
        <f>VLOOKUP(F4,A:B,2,0)</f>
        <v/>
      </c>
      <c r="F4" s="126" t="n">
        <v>1</v>
      </c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>
        <v>36</v>
      </c>
      <c r="T4" s="126">
        <f>VLOOKUP(S4,$A:$B,2,0)</f>
        <v/>
      </c>
    </row>
    <row r="5" ht="15" customHeight="1" s="26">
      <c r="A5" s="6" t="n">
        <v>4</v>
      </c>
      <c r="B5" s="6" t="inlineStr">
        <is>
          <t>P2</t>
        </is>
      </c>
      <c r="C5" s="7" t="n"/>
      <c r="D5" s="12" t="n"/>
      <c r="E5" s="126">
        <f>VLOOKUP(F5,A:B,2,0)</f>
        <v/>
      </c>
      <c r="F5" s="126" t="n">
        <v>2</v>
      </c>
      <c r="G5" s="126" t="n"/>
      <c r="H5" s="148" t="inlineStr">
        <is>
          <t>vss</t>
        </is>
      </c>
      <c r="I5" s="149" t="n"/>
      <c r="J5" s="149" t="n"/>
      <c r="K5" s="149" t="n"/>
      <c r="L5" s="149" t="n"/>
      <c r="M5" s="149" t="n"/>
      <c r="N5" s="149" t="n"/>
      <c r="O5" s="149" t="n"/>
      <c r="P5" s="149" t="n"/>
      <c r="Q5" s="150" t="n"/>
      <c r="R5" s="126" t="n"/>
      <c r="S5" s="126" t="n">
        <v>35</v>
      </c>
      <c r="T5" s="126">
        <f>VLOOKUP(S5,$A:$B,2,0)</f>
        <v/>
      </c>
    </row>
    <row r="6" ht="15" customHeight="1" s="26">
      <c r="A6" s="6" t="n">
        <v>5</v>
      </c>
      <c r="B6" s="6" t="inlineStr">
        <is>
          <t>P3</t>
        </is>
      </c>
      <c r="C6" s="7" t="n"/>
      <c r="D6" s="12" t="n"/>
      <c r="E6" s="126">
        <f>VLOOKUP(F6,A:B,2,0)</f>
        <v/>
      </c>
      <c r="F6" s="126" t="n">
        <v>3</v>
      </c>
      <c r="G6" s="126" t="n"/>
      <c r="H6" s="151" t="n"/>
      <c r="Q6" s="145" t="n"/>
      <c r="R6" s="126" t="n"/>
      <c r="S6" s="126" t="n">
        <v>34</v>
      </c>
      <c r="T6" s="126">
        <f>VLOOKUP(S6,$A:$B,2,0)</f>
        <v/>
      </c>
    </row>
    <row r="7" ht="15" customHeight="1" s="26">
      <c r="A7" s="6" t="n">
        <v>6</v>
      </c>
      <c r="B7" s="6" t="inlineStr">
        <is>
          <t>P4</t>
        </is>
      </c>
      <c r="C7" s="7" t="n"/>
      <c r="D7" s="12" t="n"/>
      <c r="E7" s="126">
        <f>VLOOKUP(F7,A:B,2,0)</f>
        <v/>
      </c>
      <c r="F7" s="126" t="n">
        <v>4</v>
      </c>
      <c r="G7" s="126" t="n"/>
      <c r="H7" s="151" t="n"/>
      <c r="Q7" s="145" t="n"/>
      <c r="R7" s="126" t="n"/>
      <c r="S7" s="126" t="n">
        <v>33</v>
      </c>
      <c r="T7" s="126">
        <f>VLOOKUP(S7,$A:$B,2,0)</f>
        <v/>
      </c>
    </row>
    <row r="8" ht="15" customHeight="1" s="26">
      <c r="A8" s="6" t="n">
        <v>7</v>
      </c>
      <c r="B8" s="6" t="inlineStr">
        <is>
          <t>P5</t>
        </is>
      </c>
      <c r="C8" s="7" t="n"/>
      <c r="D8" s="12" t="n"/>
      <c r="E8" s="126">
        <f>VLOOKUP(F8,A:B,2,0)</f>
        <v/>
      </c>
      <c r="F8" s="126" t="n">
        <v>5</v>
      </c>
      <c r="G8" s="126" t="n"/>
      <c r="H8" s="151" t="n"/>
      <c r="Q8" s="145" t="n"/>
      <c r="R8" s="126" t="n"/>
      <c r="S8" s="126" t="n">
        <v>32</v>
      </c>
      <c r="T8" s="126">
        <f>VLOOKUP(S8,$A:$B,2,0)</f>
        <v/>
      </c>
    </row>
    <row r="9" ht="15" customHeight="1" s="26">
      <c r="A9" s="6" t="n">
        <v>8</v>
      </c>
      <c r="B9" s="6" t="inlineStr">
        <is>
          <t>VCCA1</t>
        </is>
      </c>
      <c r="C9" s="7" t="n"/>
      <c r="D9" s="12" t="n"/>
      <c r="E9" s="126">
        <f>VLOOKUP(F9,A:B,2,0)</f>
        <v/>
      </c>
      <c r="F9" s="126" t="n">
        <v>6</v>
      </c>
      <c r="G9" s="126" t="n"/>
      <c r="H9" s="151" t="n"/>
      <c r="Q9" s="145" t="n"/>
      <c r="R9" s="126" t="n"/>
      <c r="S9" s="126" t="n">
        <v>31</v>
      </c>
      <c r="T9" s="126">
        <f>VLOOKUP(S9,$A:$B,2,0)</f>
        <v/>
      </c>
    </row>
    <row r="10" ht="15" customHeight="1" s="26">
      <c r="A10" s="6" t="n">
        <v>9</v>
      </c>
      <c r="B10" s="6" t="inlineStr">
        <is>
          <t>P6</t>
        </is>
      </c>
      <c r="C10" s="7" t="n"/>
      <c r="D10" s="12" t="n"/>
      <c r="E10" s="126">
        <f>VLOOKUP(F10,A:B,2,0)</f>
        <v/>
      </c>
      <c r="F10" s="126" t="n">
        <v>7</v>
      </c>
      <c r="G10" s="126" t="n"/>
      <c r="H10" s="151" t="n"/>
      <c r="Q10" s="145" t="n"/>
      <c r="R10" s="126" t="n"/>
      <c r="S10" s="126" t="n">
        <v>30</v>
      </c>
      <c r="T10" s="126">
        <f>VLOOKUP(S10,$A:$B,2,0)</f>
        <v/>
      </c>
    </row>
    <row r="11" ht="15" customHeight="1" s="26">
      <c r="A11" s="6" t="n">
        <v>10</v>
      </c>
      <c r="B11" s="6" t="inlineStr">
        <is>
          <t>P7</t>
        </is>
      </c>
      <c r="C11" s="7" t="n"/>
      <c r="D11" s="12" t="n"/>
      <c r="E11" s="126">
        <f>VLOOKUP(F11,A:B,2,0)</f>
        <v/>
      </c>
      <c r="F11" s="126" t="n">
        <v>8</v>
      </c>
      <c r="G11" s="126" t="n"/>
      <c r="H11" s="151" t="n"/>
      <c r="Q11" s="145" t="n"/>
      <c r="R11" s="126" t="n"/>
      <c r="S11" s="126" t="n">
        <v>29</v>
      </c>
      <c r="T11" s="126">
        <f>VLOOKUP(S11,$A:$B,2,0)</f>
        <v/>
      </c>
    </row>
    <row r="12" ht="15" customHeight="1" s="26">
      <c r="A12" s="6" t="n">
        <v>11</v>
      </c>
      <c r="B12" s="6" t="inlineStr">
        <is>
          <t>P8</t>
        </is>
      </c>
      <c r="C12" s="7" t="n"/>
      <c r="D12" s="12" t="n"/>
      <c r="E12" s="126">
        <f>VLOOKUP(F12,A:B,2,0)</f>
        <v/>
      </c>
      <c r="F12" s="126" t="n">
        <v>9</v>
      </c>
      <c r="G12" s="126" t="n"/>
      <c r="H12" s="151" t="n"/>
      <c r="Q12" s="145" t="n"/>
      <c r="R12" s="126" t="n"/>
      <c r="S12" s="126" t="n">
        <v>28</v>
      </c>
      <c r="T12" s="126">
        <f>VLOOKUP(S12,$A:$B,2,0)</f>
        <v/>
      </c>
    </row>
    <row r="13" ht="15" customHeight="1" s="26">
      <c r="A13" s="6" t="n">
        <v>12</v>
      </c>
      <c r="B13" s="6" t="inlineStr">
        <is>
          <t>P9</t>
        </is>
      </c>
      <c r="C13" s="7" t="n"/>
      <c r="D13" s="12" t="n"/>
      <c r="E13" s="126">
        <f>VLOOKUP(F13,A:B,2,0)</f>
        <v/>
      </c>
      <c r="F13" s="126" t="n">
        <v>10</v>
      </c>
      <c r="G13" s="126" t="n"/>
      <c r="H13" s="151" t="n"/>
      <c r="Q13" s="145" t="n"/>
      <c r="R13" s="126" t="n"/>
      <c r="S13" s="126" t="n">
        <v>27</v>
      </c>
      <c r="T13" s="126">
        <f>VLOOKUP(S13,$A:$B,2,0)</f>
        <v/>
      </c>
    </row>
    <row r="14" ht="15" customHeight="1" s="26">
      <c r="A14" s="6" t="n">
        <v>13</v>
      </c>
      <c r="B14" s="6" t="inlineStr">
        <is>
          <t>P10</t>
        </is>
      </c>
      <c r="C14" s="7" t="n"/>
      <c r="D14" s="12" t="n"/>
      <c r="E14" s="126">
        <f>VLOOKUP(F14,A:B,2,0)</f>
        <v/>
      </c>
      <c r="F14" s="126" t="n">
        <v>11</v>
      </c>
      <c r="G14" s="126" t="n"/>
      <c r="H14" s="152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4" t="n"/>
      <c r="R14" s="126" t="n"/>
      <c r="S14" s="126" t="n">
        <v>26</v>
      </c>
      <c r="T14" s="126">
        <f>VLOOKUP(S14,$A:$B,2,0)</f>
        <v/>
      </c>
    </row>
    <row r="15" ht="15" customHeight="1" s="26">
      <c r="A15" s="6" t="n">
        <v>14</v>
      </c>
      <c r="B15" s="6" t="inlineStr">
        <is>
          <t>P11</t>
        </is>
      </c>
      <c r="C15" s="7" t="n"/>
      <c r="D15" s="12" t="n"/>
      <c r="E15" s="126">
        <f>VLOOKUP(F15,A:B,2,0)</f>
        <v/>
      </c>
      <c r="F15" s="22" t="n">
        <v>12</v>
      </c>
      <c r="G15" s="126" t="n"/>
      <c r="H15" s="126" t="n"/>
      <c r="I15" s="126" t="n"/>
      <c r="J15" s="126" t="n"/>
      <c r="K15" s="126" t="n"/>
      <c r="L15" s="126" t="n"/>
      <c r="M15" s="126" t="n"/>
      <c r="N15" s="126" t="n"/>
      <c r="O15" s="126" t="n"/>
      <c r="P15" s="126" t="n"/>
      <c r="Q15" s="126" t="n"/>
      <c r="R15" s="126" t="n"/>
      <c r="S15" s="23" t="n">
        <v>25</v>
      </c>
      <c r="T15" s="126">
        <f>VLOOKUP(S15,$A:$B,2,0)</f>
        <v/>
      </c>
    </row>
    <row r="16" ht="15" customHeight="1" s="26">
      <c r="A16" s="6" t="n">
        <v>15</v>
      </c>
      <c r="B16" s="6" t="inlineStr">
        <is>
          <t>P12</t>
        </is>
      </c>
      <c r="C16" s="7" t="n"/>
      <c r="D16" s="4" t="n"/>
      <c r="E16" s="8" t="n"/>
      <c r="F16" s="8" t="n"/>
      <c r="G16" s="126" t="n">
        <v>13</v>
      </c>
      <c r="H16" s="126" t="n">
        <v>14</v>
      </c>
      <c r="I16" s="126" t="n">
        <v>15</v>
      </c>
      <c r="J16" s="126" t="n">
        <v>16</v>
      </c>
      <c r="K16" s="126" t="n">
        <v>17</v>
      </c>
      <c r="L16" s="126" t="n">
        <v>18</v>
      </c>
      <c r="M16" s="126" t="n">
        <v>19</v>
      </c>
      <c r="N16" s="126" t="n">
        <v>20</v>
      </c>
      <c r="O16" s="126" t="n">
        <v>21</v>
      </c>
      <c r="P16" s="126" t="n">
        <v>22</v>
      </c>
      <c r="Q16" s="126" t="n">
        <v>23</v>
      </c>
      <c r="R16" s="126" t="n">
        <v>24</v>
      </c>
      <c r="S16" s="8" t="n"/>
      <c r="T16" s="8" t="n"/>
    </row>
    <row r="17" ht="15.75" customHeight="1" s="26">
      <c r="A17" s="6" t="n">
        <v>16</v>
      </c>
      <c r="B17" s="6" t="inlineStr">
        <is>
          <t>P13</t>
        </is>
      </c>
      <c r="C17" s="7" t="n"/>
      <c r="D17" s="4" t="n"/>
      <c r="E17" s="8" t="n"/>
      <c r="F17" s="8" t="n"/>
      <c r="G17" s="126">
        <f>VLOOKUP(G16,$A:$B,2,0)</f>
        <v/>
      </c>
      <c r="H17" s="126">
        <f>VLOOKUP(H16,$A:$B,2,0)</f>
        <v/>
      </c>
      <c r="I17" s="126">
        <f>VLOOKUP(I16,$A:$B,2,0)</f>
        <v/>
      </c>
      <c r="J17" s="126">
        <f>VLOOKUP(J16,$A:$B,2,0)</f>
        <v/>
      </c>
      <c r="K17" s="126">
        <f>VLOOKUP(K16,$A:$B,2,0)</f>
        <v/>
      </c>
      <c r="L17" s="126">
        <f>VLOOKUP(L16,$A:$B,2,0)</f>
        <v/>
      </c>
      <c r="M17" s="126">
        <f>VLOOKUP(M16,$A:$B,2,0)</f>
        <v/>
      </c>
      <c r="N17" s="126">
        <f>VLOOKUP(N16,$A:$B,2,0)</f>
        <v/>
      </c>
      <c r="O17" s="126">
        <f>VLOOKUP(O16,$A:$B,2,0)</f>
        <v/>
      </c>
      <c r="P17" s="126">
        <f>VLOOKUP(P16,$A:$B,2,0)</f>
        <v/>
      </c>
      <c r="Q17" s="126">
        <f>VLOOKUP(Q16,$A:$B,2,0)</f>
        <v/>
      </c>
      <c r="R17" s="126">
        <f>VLOOKUP(R16,$A:$B,2,0)</f>
        <v/>
      </c>
      <c r="S17" s="8" t="n"/>
      <c r="T17" s="8" t="n"/>
    </row>
    <row r="18" ht="15" customHeight="1" s="26">
      <c r="A18" s="6" t="n">
        <v>17</v>
      </c>
      <c r="B18" s="6" t="inlineStr">
        <is>
          <t>VCC</t>
        </is>
      </c>
      <c r="C18" s="7" t="n"/>
      <c r="D18" s="4" t="n"/>
      <c r="E18" s="24" t="n"/>
      <c r="F18" s="24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4" t="n"/>
      <c r="T18" s="24" t="n"/>
    </row>
    <row r="19" ht="15" customHeight="1" s="26">
      <c r="A19" s="6" t="n">
        <v>18</v>
      </c>
      <c r="B19" s="6" t="inlineStr">
        <is>
          <t>VREFN_ADC</t>
        </is>
      </c>
      <c r="C19" s="7" t="n"/>
      <c r="D19" s="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</row>
    <row r="20" ht="15" customHeight="1" s="26">
      <c r="A20" s="6" t="n">
        <v>19</v>
      </c>
      <c r="B20" s="6" t="inlineStr">
        <is>
          <t>VREFP_ADC</t>
        </is>
      </c>
      <c r="C20" s="7" t="n"/>
      <c r="D20" s="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</row>
    <row r="21" ht="15" customHeight="1" s="26">
      <c r="A21" s="6" t="n">
        <v>20</v>
      </c>
      <c r="B21" s="6" t="inlineStr">
        <is>
          <t>VCCA3</t>
        </is>
      </c>
      <c r="C21" s="7" t="n"/>
      <c r="D21" s="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</row>
    <row r="22" ht="15" customHeight="1" s="26">
      <c r="A22" s="6" t="n">
        <v>21</v>
      </c>
      <c r="B22" s="6" t="inlineStr">
        <is>
          <t>P14</t>
        </is>
      </c>
      <c r="C22" s="7" t="n"/>
      <c r="D22" s="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</row>
    <row r="23" ht="15" customHeight="1" s="26">
      <c r="A23" s="6" t="n">
        <v>22</v>
      </c>
      <c r="B23" s="6" t="inlineStr">
        <is>
          <t>P15</t>
        </is>
      </c>
      <c r="C23" s="7" t="n"/>
      <c r="D23" s="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</row>
    <row r="24" ht="15" customHeight="1" s="26">
      <c r="A24" s="6" t="n">
        <v>23</v>
      </c>
      <c r="B24" s="6" t="inlineStr">
        <is>
          <t>P16</t>
        </is>
      </c>
      <c r="C24" s="7" t="n"/>
      <c r="D24" s="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</row>
    <row r="25" ht="15" customHeight="1" s="26">
      <c r="A25" s="6" t="n">
        <v>24</v>
      </c>
      <c r="B25" s="6" t="inlineStr">
        <is>
          <t>P17</t>
        </is>
      </c>
      <c r="C25" s="7" t="n"/>
      <c r="D25" s="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</row>
    <row r="26" ht="15" customHeight="1" s="26">
      <c r="A26" s="6" t="n">
        <v>25</v>
      </c>
      <c r="B26" s="6" t="inlineStr">
        <is>
          <t>P18</t>
        </is>
      </c>
      <c r="C26" s="7" t="n"/>
      <c r="D26" s="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</row>
    <row r="27" ht="15" customHeight="1" s="26">
      <c r="A27" s="6" t="n">
        <v>26</v>
      </c>
      <c r="B27" s="6" t="inlineStr">
        <is>
          <t>P19</t>
        </is>
      </c>
      <c r="C27" s="7" t="n"/>
      <c r="D27" s="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</row>
    <row r="28" ht="15" customHeight="1" s="26">
      <c r="A28" s="6" t="n">
        <v>27</v>
      </c>
      <c r="B28" s="6" t="inlineStr">
        <is>
          <t>P20</t>
        </is>
      </c>
      <c r="C28" s="7" t="n"/>
      <c r="D28" s="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</row>
    <row r="29" ht="15" customHeight="1" s="26">
      <c r="A29" s="6" t="n">
        <v>28</v>
      </c>
      <c r="B29" s="6" t="inlineStr">
        <is>
          <t>P21</t>
        </is>
      </c>
      <c r="C29" s="7" t="n"/>
      <c r="D29" s="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</row>
    <row r="30" ht="15" customHeight="1" s="26">
      <c r="A30" s="6" t="n">
        <v>29</v>
      </c>
      <c r="B30" s="6" t="inlineStr">
        <is>
          <t>P22</t>
        </is>
      </c>
      <c r="C30" s="7" t="n"/>
      <c r="D30" s="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</row>
    <row r="31" ht="15" customHeight="1" s="26">
      <c r="A31" s="6" t="n">
        <v>30</v>
      </c>
      <c r="B31" s="6" t="inlineStr">
        <is>
          <t>P23</t>
        </is>
      </c>
      <c r="C31" s="7" t="n"/>
      <c r="D31" s="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</row>
    <row r="32" ht="15" customHeight="1" s="26">
      <c r="A32" s="6" t="n">
        <v>31</v>
      </c>
      <c r="B32" s="6" t="inlineStr">
        <is>
          <t>VCC</t>
        </is>
      </c>
      <c r="C32" s="7" t="n"/>
      <c r="D32" s="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</row>
    <row r="33" ht="15" customHeight="1" s="26">
      <c r="A33" s="6" t="n">
        <v>32</v>
      </c>
      <c r="B33" s="6" t="inlineStr">
        <is>
          <t>P24</t>
        </is>
      </c>
      <c r="C33" s="7" t="n"/>
      <c r="D33" s="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</row>
    <row r="34" ht="15" customHeight="1" s="26">
      <c r="A34" s="6" t="n">
        <v>33</v>
      </c>
      <c r="B34" s="6" t="inlineStr">
        <is>
          <t>P25</t>
        </is>
      </c>
      <c r="C34" s="7" t="n"/>
      <c r="D34" s="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</row>
    <row r="35" ht="15" customHeight="1" s="26">
      <c r="A35" s="6" t="n">
        <v>34</v>
      </c>
      <c r="B35" s="6" t="inlineStr">
        <is>
          <t>P26</t>
        </is>
      </c>
      <c r="C35" s="7" t="n"/>
      <c r="D35" s="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</row>
    <row r="36" ht="15" customHeight="1" s="26">
      <c r="A36" s="6" t="n">
        <v>35</v>
      </c>
      <c r="B36" s="6" t="inlineStr">
        <is>
          <t>P27</t>
        </is>
      </c>
      <c r="C36" s="7" t="n"/>
      <c r="D36" s="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</row>
    <row r="37" ht="15" customHeight="1" s="26">
      <c r="A37" s="6" t="n">
        <v>36</v>
      </c>
      <c r="B37" s="6" t="inlineStr">
        <is>
          <t>P28</t>
        </is>
      </c>
      <c r="C37" s="7" t="n"/>
      <c r="D37" s="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</row>
    <row r="38" ht="15" customHeight="1" s="26">
      <c r="A38" s="6" t="n">
        <v>37</v>
      </c>
      <c r="B38" s="6" t="inlineStr">
        <is>
          <t>P29</t>
        </is>
      </c>
      <c r="C38" s="7" t="n"/>
      <c r="D38" s="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</row>
    <row r="39" ht="15" customHeight="1" s="26">
      <c r="A39" s="6" t="n">
        <v>38</v>
      </c>
      <c r="B39" s="6" t="inlineStr">
        <is>
          <t>P30</t>
        </is>
      </c>
      <c r="C39" s="7" t="n"/>
      <c r="D39" s="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</row>
    <row r="40" ht="15" customHeight="1" s="26">
      <c r="A40" s="6" t="n">
        <v>39</v>
      </c>
      <c r="B40" s="6" t="inlineStr">
        <is>
          <t>P31</t>
        </is>
      </c>
      <c r="C40" s="7" t="n"/>
      <c r="D40" s="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</row>
    <row r="41" ht="15" customHeight="1" s="26">
      <c r="A41" s="6" t="n">
        <v>40</v>
      </c>
      <c r="B41" s="126" t="inlineStr">
        <is>
          <t>EXT_RSTN/POR_NRST_OUT</t>
        </is>
      </c>
      <c r="C41" s="7" t="n"/>
      <c r="D41" s="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</row>
    <row r="42" ht="15" customHeight="1" s="26">
      <c r="A42" s="6" t="n">
        <v>41</v>
      </c>
      <c r="B42" s="126" t="inlineStr">
        <is>
          <t>EXT_RSTN_EN</t>
        </is>
      </c>
      <c r="C42" s="7" t="n"/>
      <c r="D42" s="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</row>
    <row r="43" ht="15" customHeight="1" s="26">
      <c r="A43" s="6" t="n">
        <v>42</v>
      </c>
      <c r="B43" s="6" t="inlineStr">
        <is>
          <t>P32</t>
        </is>
      </c>
      <c r="C43" s="7" t="n"/>
      <c r="D43" s="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</row>
    <row r="44" ht="15" customHeight="1" s="26">
      <c r="A44" s="6" t="n">
        <v>43</v>
      </c>
      <c r="B44" s="6" t="inlineStr">
        <is>
          <t>P33</t>
        </is>
      </c>
      <c r="C44" s="7" t="n"/>
      <c r="D44" s="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</row>
    <row r="45" ht="15" customHeight="1" s="26">
      <c r="A45" s="6" t="n">
        <v>44</v>
      </c>
      <c r="B45" s="6" t="inlineStr">
        <is>
          <t>EXT_LDO_EN</t>
        </is>
      </c>
      <c r="C45" s="7" t="n"/>
      <c r="D45" s="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</row>
    <row r="46" ht="15" customHeight="1" s="26">
      <c r="A46" s="6" t="n">
        <v>45</v>
      </c>
      <c r="B46" s="6" t="inlineStr">
        <is>
          <t>P34</t>
        </is>
      </c>
      <c r="C46" s="7" t="n"/>
      <c r="D46" s="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</row>
    <row r="47" ht="15" customHeight="1" s="26">
      <c r="A47" s="6" t="n">
        <v>46</v>
      </c>
      <c r="B47" s="6" t="inlineStr">
        <is>
          <t>P35</t>
        </is>
      </c>
      <c r="C47" s="7" t="n"/>
      <c r="D47" s="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</row>
    <row r="48" ht="15" customHeight="1" s="26">
      <c r="A48" s="6" t="n">
        <v>47</v>
      </c>
      <c r="B48" s="6" t="inlineStr">
        <is>
          <t>VCCA2</t>
        </is>
      </c>
      <c r="C48" s="7" t="n"/>
      <c r="D48" s="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</row>
    <row r="49" ht="15" customHeight="1" s="26">
      <c r="A49" s="6" t="n">
        <v>48</v>
      </c>
      <c r="B49" s="6" t="inlineStr">
        <is>
          <t>VCCA</t>
        </is>
      </c>
      <c r="C49" s="7" t="n"/>
      <c r="D49" s="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</row>
    <row r="50" ht="15" customHeight="1" s="26">
      <c r="A50" s="6" t="inlineStr">
        <is>
          <t>E-pad</t>
        </is>
      </c>
      <c r="B50" s="6" t="inlineStr">
        <is>
          <t>VSS</t>
        </is>
      </c>
    </row>
    <row r="51"/>
    <row r="52"/>
  </sheetData>
  <mergeCells count="1">
    <mergeCell ref="H5:Q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F6:F6"/>
  <sheetViews>
    <sheetView workbookViewId="0">
      <selection activeCell="F7" sqref="F7"/>
    </sheetView>
  </sheetViews>
  <sheetFormatPr baseColWidth="8" defaultColWidth="9" defaultRowHeight="14.25" outlineLevelRow="5"/>
  <sheetData>
    <row r="6">
      <c r="F6" t="inlineStr">
        <is>
          <t>PMU测试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2015-06-06T02:19:00Z</dcterms:created>
  <dcterms:modified xsi:type="dcterms:W3CDTF">2026-07-24T05:48:00Z</dcterms:modified>
  <cp:lastModifiedBy>沈家辉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2052-12.1.0.24655</vt:lpwstr>
  </property>
  <property name="CalculationRule" fmtid="{D5CDD505-2E9C-101B-9397-08002B2CF9AE}" pid="3">
    <vt:i4>0</vt:i4>
  </property>
  <property name="ICV" fmtid="{D5CDD505-2E9C-101B-9397-08002B2CF9AE}" pid="4">
    <vt:lpwstr>06C520C9B8F848B282AFCA96119D4DB7_12</vt:lpwstr>
  </property>
</Properties>
</file>