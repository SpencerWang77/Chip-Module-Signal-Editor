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填表须知" sheetId="6" r:id="rId1"/>
    <sheet name="1.IP list" sheetId="7" r:id="rId2"/>
    <sheet name="2.AD_AA" sheetId="1" r:id="rId3"/>
    <sheet name="3.register" sheetId="2" r:id="rId4"/>
    <sheet name="4.LF_Pinmap" sheetId="5" r:id="rId5"/>
    <sheet name="PMU测试" sheetId="3" state="hidden" r:id="rId6"/>
  </sheets>
  <definedNames>
    <definedName name="_xlnm._FilterDatabase" localSheetId="2" hidden="1">'2.AD_AA'!$A$1:$T$256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张倩</author>
  </authors>
  <commentList>
    <comment ref="B7" authorId="0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原5500表格没有
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张倩</author>
  </authors>
  <commentList>
    <comment ref="B1" authorId="0">
      <text>
        <r>
          <rPr>
            <sz val="11"/>
            <color rgb="FF000000"/>
            <rFont val="等线"/>
            <scheme val="minor"/>
            <charset val="0"/>
          </rPr>
          <t>作者:
MODULE1_name.MODULE1_instance_name</t>
        </r>
      </text>
    </comment>
    <comment ref="C1" authorId="0">
      <text>
        <r>
          <rPr>
            <sz val="11"/>
            <color rgb="FF000000"/>
            <rFont val="等线"/>
            <scheme val="minor"/>
            <charset val="0"/>
          </rPr>
          <t>作者:
MODULE2_name.MODULE2_instance_name 
or it can be:
TOP:top_signal_name</t>
        </r>
      </text>
    </comment>
    <comment ref="D1" authorId="0">
      <text>
        <r>
          <rPr>
            <sz val="11"/>
            <color rgb="FF000000"/>
            <rFont val="等线"/>
            <scheme val="minor"/>
            <charset val="0"/>
          </rPr>
          <t>作者:
It should match the name of MODULE1 port name
Default signal name in TOP will be MODULE1_instance_name_SIGNAL_NAME</t>
        </r>
      </text>
    </comment>
    <comment ref="D11" authorId="1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张倩:使用55 32K的端口？或者加top_reg口？</t>
        </r>
      </text>
    </comment>
    <comment ref="C80" authorId="1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floating 但保留
</t>
        </r>
      </text>
    </comment>
    <comment ref="C192" authorId="1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错误，应该连到PAD口，影响gain error3%以上</t>
        </r>
      </text>
    </comment>
    <comment ref="C193" authorId="1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错误，应该连到PAD口，影响gain error3%以上</t>
        </r>
      </text>
    </comment>
    <comment ref="C208" authorId="1">
      <text>
        <r>
          <rPr>
            <b/>
            <sz val="9"/>
            <rFont val="宋体"/>
            <charset val="134"/>
          </rPr>
          <t>张倩:</t>
        </r>
        <r>
          <rPr>
            <sz val="9"/>
            <rFont val="宋体"/>
            <charset val="134"/>
          </rPr>
          <t xml:space="preserve">
错误，应该连到PAD口，影响gain error3%以上</t>
        </r>
      </text>
    </comment>
  </commentList>
</comments>
</file>

<file path=xl/comments3.xml><?xml version="1.0" encoding="utf-8"?>
<comments xmlns="http://schemas.openxmlformats.org/spreadsheetml/2006/main">
  <authors>
    <author>应晓俊</author>
    <author/>
  </authors>
  <commentList>
    <comment ref="E1" authorId="0">
      <text>
        <r>
          <rPr>
            <b/>
            <sz val="18"/>
            <rFont val="宋体"/>
            <charset val="134"/>
          </rPr>
          <t>应晓俊:</t>
        </r>
        <r>
          <rPr>
            <sz val="18"/>
            <rFont val="宋体"/>
            <charset val="134"/>
          </rPr>
          <t xml:space="preserve">
This is an example showing the default values/format of the register comment section. 
[property]
clk = clk_0 
It specifies which clock to use for FF. Other possible values could be:
clk_1,...,clk_freerunning. 
rstn = rstn_0
It specifies which active low reset to use for FF. Other possbile values could be:
rstn_1,...,rstn_POR,rstn_NA(no reset intended). 
ext_gen = 0
It specifies whether to pass on the bus access information to external modules. 
wr_protect = my_protect_en
It specifies the extra enable signal for bus access.
wr = W0CW1S
It specifies the FF write mechanism. Other possible values could be:
W1C(write 1 clear)/W0C(write 0 clear)/W1S(write 1 set)/W0S(write 0 set)/W1T(write 1 toggle)/W0T(write 0 toggle)/PULSE0(write 0 to generate active low pulse)/PULSE1(write 1 to generate active high pulse):RC(read clear)/RS(read set)/RT(read toggle).HW(update by other modules).
rd = Q
It specifies the bus read mechanism. Other possible values could be:
ext(update by other modules or tied to constant outside)
static = 0
It specifies whether this register can be considered as static for DC/spyglass analysis.
the above property can be selectively overwritten by specifying the new configuration in the notes. 
[data]
0x00 = TEXT0 #setting 0
0x01 = TEXT1 #setting 1 
....
0x05 = TEXT5</t>
        </r>
      </text>
    </comment>
    <comment ref="E6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I7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12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20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25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45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L47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49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K54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54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K69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E122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E123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E124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E125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I126" authorId="0">
      <text>
        <r>
          <rPr>
            <b/>
            <sz val="9"/>
            <rFont val="宋体"/>
            <charset val="134"/>
          </rPr>
          <t>[property]
wr=na
rd=ext</t>
        </r>
      </text>
    </comment>
    <comment ref="J170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K170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170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  <comment ref="L269" authorId="1">
      <text>
        <r>
          <rPr>
            <sz val="11"/>
            <color rgb="FF000000"/>
            <rFont val="等线"/>
            <scheme val="minor"/>
            <charset val="0"/>
          </rPr>
          <t xml:space="preserve">[property]
wr=na
rd=ext
</t>
        </r>
      </text>
    </comment>
  </commentList>
</comments>
</file>

<file path=xl/sharedStrings.xml><?xml version="1.0" encoding="utf-8"?>
<sst xmlns="http://schemas.openxmlformats.org/spreadsheetml/2006/main" count="2395" uniqueCount="1288">
  <si>
    <t>内容项说明</t>
  </si>
  <si>
    <t>填写格式</t>
  </si>
  <si>
    <t>注意事项</t>
  </si>
  <si>
    <t>1.IP list 
5500和9000 IP list
2.AD_AA
端口连接、功能描述、寄存器默认值等
3.register 
寄存器地址
4.LF_Pinmap
封装打线信息</t>
  </si>
  <si>
    <t>时间</t>
  </si>
  <si>
    <t>责任人</t>
  </si>
  <si>
    <t>改动内容</t>
  </si>
  <si>
    <t>张倩</t>
  </si>
  <si>
    <r>
      <rPr>
        <sz val="11"/>
        <color theme="1"/>
        <rFont val="等线"/>
        <charset val="134"/>
        <scheme val="minor"/>
      </rPr>
      <t xml:space="preserve">初版：更新1.IP list
检查2.AD_AA数模接口
比较与5500的区别
</t>
    </r>
    <r>
      <rPr>
        <sz val="11"/>
        <color rgb="FFFF0000"/>
        <rFont val="等线"/>
        <charset val="134"/>
        <scheme val="minor"/>
      </rPr>
      <t>红：删除</t>
    </r>
    <r>
      <rPr>
        <sz val="11"/>
        <color theme="1"/>
        <rFont val="等线"/>
        <charset val="134"/>
        <scheme val="minor"/>
      </rPr>
      <t>；</t>
    </r>
    <r>
      <rPr>
        <sz val="11"/>
        <color theme="9" tint="-0.249977111117893"/>
        <rFont val="等线"/>
        <charset val="134"/>
        <scheme val="minor"/>
      </rPr>
      <t>绿：添加；</t>
    </r>
    <r>
      <rPr>
        <sz val="11"/>
        <color rgb="FFFFC000"/>
        <rFont val="等线"/>
        <charset val="134"/>
        <scheme val="minor"/>
      </rPr>
      <t>黄：修改</t>
    </r>
  </si>
  <si>
    <t>应晓俊</t>
  </si>
  <si>
    <t>AD_AA恢复REG列; 
接到寄存器的O类型信号增加地址;
pmu_reg恢复[31:0], 模拟内部链接写在description里；
更新寄存器表后删除了减少的模块；</t>
  </si>
  <si>
    <t>IP list</t>
  </si>
  <si>
    <t>adc</t>
  </si>
  <si>
    <t>osc32m</t>
  </si>
  <si>
    <t>32k</t>
  </si>
  <si>
    <t>38K</t>
  </si>
  <si>
    <t>32K</t>
  </si>
  <si>
    <t>pll</t>
  </si>
  <si>
    <t>pmu</t>
  </si>
  <si>
    <t>tsensor</t>
  </si>
  <si>
    <t>cmp</t>
  </si>
  <si>
    <t>pga</t>
  </si>
  <si>
    <t>dac</t>
  </si>
  <si>
    <t>osc48m</t>
  </si>
  <si>
    <t>tsensoradc</t>
  </si>
  <si>
    <t>top</t>
  </si>
  <si>
    <t>IO</t>
  </si>
  <si>
    <t>cvr</t>
  </si>
  <si>
    <t>ulppmu</t>
  </si>
  <si>
    <t>筛选</t>
  </si>
  <si>
    <t>MODULE1</t>
  </si>
  <si>
    <t>MODULE2</t>
  </si>
  <si>
    <t>SIGNAL_NAME</t>
  </si>
  <si>
    <t>WIDTH</t>
  </si>
  <si>
    <t>PORT_TYPE</t>
  </si>
  <si>
    <t>PWR_DOMAIN</t>
  </si>
  <si>
    <t>DEFAULT</t>
  </si>
  <si>
    <t>REG</t>
  </si>
  <si>
    <t>NVR_TRIM</t>
  </si>
  <si>
    <t>NVR_ADDR</t>
  </si>
  <si>
    <t>NVR_BITS</t>
  </si>
  <si>
    <t>TM</t>
  </si>
  <si>
    <t>TEST_MUX</t>
  </si>
  <si>
    <t>FUNC_MUX</t>
  </si>
  <si>
    <t>TEST_GROUP</t>
  </si>
  <si>
    <t>DESCRIPTION</t>
  </si>
  <si>
    <t>HEX_BYTE_ADDR</t>
  </si>
  <si>
    <t>bits</t>
  </si>
  <si>
    <t>current(mA)</t>
  </si>
  <si>
    <t>osc32k_new_model.osc32k_inst</t>
  </si>
  <si>
    <t>TOP:VCC5V</t>
  </si>
  <si>
    <t>VDDD</t>
  </si>
  <si>
    <t>P</t>
  </si>
  <si>
    <t>TOP:VSSA</t>
  </si>
  <si>
    <t>VSSA</t>
  </si>
  <si>
    <t>G</t>
  </si>
  <si>
    <t>TOP:VSSD</t>
  </si>
  <si>
    <t>VSSD</t>
  </si>
  <si>
    <t>TOP:osc32k_inst_POC_VCC5</t>
  </si>
  <si>
    <t>POC</t>
  </si>
  <si>
    <t>AO</t>
  </si>
  <si>
    <t>core_pd.core_pd_inst</t>
  </si>
  <si>
    <t>LI_EN</t>
  </si>
  <si>
    <t>I</t>
  </si>
  <si>
    <t>b0</t>
  </si>
  <si>
    <t>YES</t>
  </si>
  <si>
    <t>OSC32K enable
Enable signal of oscillator, high active
EN_OSC = “0”  Disables the
oscillator; EN_OSC= “1”  Enables
the oscillator</t>
  </si>
  <si>
    <t>0x0016</t>
  </si>
  <si>
    <t>TOP:pmu_inst_Ibias_20n</t>
  </si>
  <si>
    <t>I20N</t>
  </si>
  <si>
    <t>P_FT[7:0]</t>
  </si>
  <si>
    <t>b01010100</t>
  </si>
  <si>
    <t>少一位</t>
  </si>
  <si>
    <t>0x0014</t>
  </si>
  <si>
    <t>S_FT[4:0]</t>
  </si>
  <si>
    <t>b11100</t>
  </si>
  <si>
    <t>加一位</t>
  </si>
  <si>
    <t>0x0015</t>
  </si>
  <si>
    <t>LO_OSC</t>
  </si>
  <si>
    <t>O</t>
  </si>
  <si>
    <t>NO</t>
  </si>
  <si>
    <t>Output clock of the oscillator is stability</t>
  </si>
  <si>
    <t>CLKREADDY</t>
  </si>
  <si>
    <t>Output clock of the oscillator</t>
  </si>
  <si>
    <t>0x0017</t>
  </si>
  <si>
    <t>cvr_model.cvr_inst</t>
  </si>
  <si>
    <t>TOP:undefined</t>
  </si>
  <si>
    <t>VREF</t>
  </si>
  <si>
    <t>Input Vref</t>
  </si>
  <si>
    <t>VDDA</t>
  </si>
  <si>
    <t>CVREN</t>
  </si>
  <si>
    <t>CVR enable</t>
  </si>
  <si>
    <t>0x0106</t>
  </si>
  <si>
    <t>CVRREG[3:0]</t>
  </si>
  <si>
    <t>b0000</t>
  </si>
  <si>
    <t>CVR  Resisitor control</t>
  </si>
  <si>
    <t>0x0104</t>
  </si>
  <si>
    <t>CVRSEL[3:0]</t>
  </si>
  <si>
    <t>CVR output voltage control</t>
  </si>
  <si>
    <t>0x0105</t>
  </si>
  <si>
    <t>CVREF</t>
  </si>
  <si>
    <t>CVR output voltage</t>
  </si>
  <si>
    <t>ulppmu_model.ulppmu_inst</t>
  </si>
  <si>
    <t>VDDHA</t>
  </si>
  <si>
    <t>GNDA</t>
  </si>
  <si>
    <t>GND</t>
  </si>
  <si>
    <t>L_INIB</t>
  </si>
  <si>
    <t>low power mode enable</t>
  </si>
  <si>
    <t>0x0108</t>
  </si>
  <si>
    <t>L_LPM</t>
  </si>
  <si>
    <t>L_VR[2:0]</t>
  </si>
  <si>
    <t>b100</t>
  </si>
  <si>
    <t>新加</t>
  </si>
  <si>
    <t>0x0109</t>
  </si>
  <si>
    <t>L_VT[5:0]</t>
  </si>
  <si>
    <t>b100000</t>
  </si>
  <si>
    <t>0x010A</t>
  </si>
  <si>
    <t xml:space="preserve">reference voltage for LP_LDO
Default =0.75V
</t>
  </si>
  <si>
    <t>I20N[4:0]</t>
  </si>
  <si>
    <t>20nA bias output</t>
  </si>
  <si>
    <t>V1P24</t>
  </si>
  <si>
    <t>BGP output 1.24V</t>
  </si>
  <si>
    <t>V15_AON</t>
  </si>
  <si>
    <t>1.5V LDO power output</t>
  </si>
  <si>
    <t>rstn_por_hv</t>
  </si>
  <si>
    <t>por reset high voltage domain output POC</t>
  </si>
  <si>
    <t>rstn_por_lv</t>
  </si>
  <si>
    <t>por reset output. 
rstn_por_lv=1-] reset diable(release)
rstn_por_lv=0-] reset work, system work in reset mode</t>
  </si>
  <si>
    <t>0x010B</t>
  </si>
  <si>
    <t>adc_model.adc_inst</t>
  </si>
  <si>
    <t>5V</t>
  </si>
  <si>
    <t>2.6V-5.5V</t>
  </si>
  <si>
    <t>VDDA_TOP</t>
  </si>
  <si>
    <t>VDDA ref</t>
  </si>
  <si>
    <t>TOP:pmu_inst_V12M_adc</t>
  </si>
  <si>
    <t>1.5V</t>
  </si>
  <si>
    <t>V12</t>
  </si>
  <si>
    <t>1.08V-1.32v</t>
  </si>
  <si>
    <t>TOP:adc_inst_ADC_VIN</t>
  </si>
  <si>
    <t>ADC_VIN[11:0]</t>
  </si>
  <si>
    <t>A</t>
  </si>
  <si>
    <t>ADC输入</t>
  </si>
  <si>
    <t>TOP:adc_inst_ADC_VIP</t>
  </si>
  <si>
    <t>ADC_VIP[11:0]</t>
  </si>
  <si>
    <t>TOP:adc_inst_VREF_EXT</t>
  </si>
  <si>
    <t>VREF_EXT</t>
  </si>
  <si>
    <t>外部输入参考电压</t>
  </si>
  <si>
    <t>TOP:adc_inst_VREFN</t>
  </si>
  <si>
    <t>VREFN</t>
  </si>
  <si>
    <t>参考电压（负）</t>
  </si>
  <si>
    <t>TOP:pmu_inst_Ibias_1u[1]</t>
  </si>
  <si>
    <t>ADC_IBP1U</t>
  </si>
  <si>
    <t>参考电流1uA</t>
  </si>
  <si>
    <t>TOP:pmu_inst_VREF1P2</t>
  </si>
  <si>
    <t>ADC_VREF1P2</t>
  </si>
  <si>
    <t xml:space="preserve">参考电压1.5V </t>
  </si>
  <si>
    <t>TOP:adc_inst_VREFP_TEST</t>
  </si>
  <si>
    <t>VREFP_TEST</t>
  </si>
  <si>
    <t>删除</t>
  </si>
  <si>
    <t>TOP:adc_inst_POC_5V</t>
  </si>
  <si>
    <t>POC_5V</t>
  </si>
  <si>
    <t>5V POR OK信号 ，用来控制Levelshift，确保在POR释放前levelshift输出有确定值</t>
  </si>
  <si>
    <t>TOP:adc_inst_ADC_VREFTEST</t>
  </si>
  <si>
    <t>ADC_VREFTEST</t>
  </si>
  <si>
    <t>ADC内部产生参考电压（经过buffer）</t>
  </si>
  <si>
    <t>BOUTL[11:0]</t>
  </si>
  <si>
    <t>ADC输出</t>
  </si>
  <si>
    <t>0x0004</t>
  </si>
  <si>
    <t>EOCL</t>
  </si>
  <si>
    <t>ADC EOC标志</t>
  </si>
  <si>
    <t>0x000A</t>
  </si>
  <si>
    <t>Single</t>
  </si>
  <si>
    <t>LI_ADC_CLK</t>
  </si>
  <si>
    <t>ADC时钟</t>
  </si>
  <si>
    <t>LI_ADC_EN</t>
  </si>
  <si>
    <t>ADC enable信号 1:enable 0:disable</t>
  </si>
  <si>
    <t>0x000B</t>
  </si>
  <si>
    <t>[0]</t>
  </si>
  <si>
    <t>LI_ADC_SOC</t>
  </si>
  <si>
    <t>ADC开始转换信号，一个clk宽度高电平</t>
  </si>
  <si>
    <t>[1]</t>
  </si>
  <si>
    <t>LI_ADC_VINSEL[3:0]</t>
  </si>
  <si>
    <t>ADC输入通道选择，0000:channel 0 0001:channel 1    1011:channel 11</t>
  </si>
  <si>
    <t>0x0006</t>
  </si>
  <si>
    <t>[3:0]</t>
  </si>
  <si>
    <t>LI_ADC_SAMPT</t>
  </si>
  <si>
    <t>ADC 采样时间选择，0 4clk 1 8clk</t>
  </si>
  <si>
    <t>0x0008</t>
  </si>
  <si>
    <t>LI_ADC_VREFSEL[1:0]</t>
  </si>
  <si>
    <t>b11</t>
  </si>
  <si>
    <t>ADC 参考电压选择 00 2.4V内部参考 01 VDDA 10 11外部参考</t>
  </si>
  <si>
    <t>0x0009</t>
  </si>
  <si>
    <t>[1:0]</t>
  </si>
  <si>
    <t>LI_ADC_VREFTRIM[3:0]</t>
  </si>
  <si>
    <t>b1000</t>
  </si>
  <si>
    <t>ADC 2.4V参考电压 trim  10mV/stetp</t>
  </si>
  <si>
    <t>0x0007</t>
  </si>
  <si>
    <t>osc32m_model.osc32m_inst</t>
  </si>
  <si>
    <t>vddh</t>
  </si>
  <si>
    <t>TOP:pmu_inst_V12M_clk</t>
  </si>
  <si>
    <t>vdd</t>
  </si>
  <si>
    <t>1.5V core power</t>
  </si>
  <si>
    <t>TOP:pmu_inst_V12_AON</t>
  </si>
  <si>
    <t>vddao</t>
  </si>
  <si>
    <t xml:space="preserve">1.5V </t>
  </si>
  <si>
    <t>vss</t>
  </si>
  <si>
    <t>vssd</t>
  </si>
  <si>
    <t>EN</t>
  </si>
  <si>
    <t>EN=”1”àHRC_OSC enable</t>
  </si>
  <si>
    <t>0x0013</t>
  </si>
  <si>
    <t>CTUNE[5:0]</t>
  </si>
  <si>
    <t>b011110</t>
  </si>
  <si>
    <t>Coarse tuning controlling registers of oscillation frequency Default values are 6’b10_0000  CTUNE[5:0]↑àThe output frequency↑</t>
  </si>
  <si>
    <t>0x000C</t>
  </si>
  <si>
    <t>[5:0]</t>
  </si>
  <si>
    <t>FTUNE[4:0]</t>
  </si>
  <si>
    <t>b10000</t>
  </si>
  <si>
    <t>Fine tuning controlling registers of oscillation frequency Default values are 5’b1_0000  FTUNE[4:0]↑ àThe output frequency↑</t>
  </si>
  <si>
    <t>0x000D</t>
  </si>
  <si>
    <t>[4:0]</t>
  </si>
  <si>
    <t>REG_IOP_SEL[1:0]</t>
  </si>
  <si>
    <t>b10</t>
  </si>
  <si>
    <t>REG_IOP_SEL[1:0]=2b’0024MHz
REG_IOP_SEL[1:0]=2b’1032MHz
REG_IOP_SEL[1:0]=2b’1150MHz</t>
  </si>
  <si>
    <t>0x000E</t>
  </si>
  <si>
    <t>Temp[2:0]</t>
  </si>
  <si>
    <t>b011</t>
  </si>
  <si>
    <t>Trimming for temperature</t>
  </si>
  <si>
    <t>0x000F</t>
  </si>
  <si>
    <t>[2:0]</t>
  </si>
  <si>
    <t>HRC_OK_MUX[3:0]</t>
  </si>
  <si>
    <t>b0001</t>
  </si>
  <si>
    <t xml:space="preserve">Choose for OK delay
HRC_OK_MUX[3:0]=4b’000116us
HRC_OK_MUX[3:0]=4b’00108us
HRC_OK_MUX[3:0]=4b’01004us
HRC_OK_MUX[3:0]=4b’10002us
NOTE:  This signal needs to be configurable when the HRC_OSC is not working
</t>
  </si>
  <si>
    <t>0x0010</t>
  </si>
  <si>
    <t>TOP:pmu_inst_Ibias_5u_N</t>
  </si>
  <si>
    <t>Ibias_5u</t>
  </si>
  <si>
    <t>5uA form PMU</t>
  </si>
  <si>
    <t>TOP:pmu_inst_Iptat_1u[0]</t>
  </si>
  <si>
    <t>Ibias_1u</t>
  </si>
  <si>
    <t>1uA ptat current form PMU</t>
  </si>
  <si>
    <t>OSC_out</t>
  </si>
  <si>
    <t>NONE</t>
  </si>
  <si>
    <t>24MHz/32MHz/50MHz</t>
  </si>
  <si>
    <t>HRC_OK_LV</t>
  </si>
  <si>
    <t>stable signal of OSC</t>
  </si>
  <si>
    <t>0x0012</t>
  </si>
  <si>
    <t>pll_model.pll_inst</t>
  </si>
  <si>
    <t>VCC</t>
  </si>
  <si>
    <t xml:space="preserve">5V power supply of PLL, the power range is from 1.80V to 
5.50V 
</t>
  </si>
  <si>
    <t>vddd</t>
  </si>
  <si>
    <t xml:space="preserve">Digital powersupply for PLL </t>
  </si>
  <si>
    <t>Analog ground for PLL</t>
  </si>
  <si>
    <t>Digital ground for PLL</t>
  </si>
  <si>
    <t>TOP:pmu_inst_Ibias_10u[1:0]</t>
  </si>
  <si>
    <t>iref10u_cp[1:0]</t>
  </si>
  <si>
    <t xml:space="preserve">Current nmos bias PTAT 
Default current =10uA
</t>
  </si>
  <si>
    <t>TOP:pll_inst_atb</t>
  </si>
  <si>
    <t>atb</t>
  </si>
  <si>
    <t>analog test pin of PLL</t>
  </si>
  <si>
    <t>atb_sel[1:0]</t>
  </si>
  <si>
    <t>b00</t>
  </si>
  <si>
    <t>NA</t>
  </si>
  <si>
    <t xml:space="preserve">Register control analog test pin of PLL.
lock_sel [1:0] atb
lock_sel [1:0]= 2’b00 vcp_atb
lock_sel [1:0]= 2’b01 ivco_atb
</t>
  </si>
  <si>
    <t>0x001F</t>
  </si>
  <si>
    <t>[7:6]</t>
  </si>
  <si>
    <t>digsmode</t>
  </si>
  <si>
    <t>b1</t>
  </si>
  <si>
    <t>0x001E</t>
  </si>
  <si>
    <t>[7]</t>
  </si>
  <si>
    <t>TOP:pmu_inst_Ibias_0p5u</t>
  </si>
  <si>
    <t>Ib0p5u</t>
  </si>
  <si>
    <t xml:space="preserve">Floating
</t>
  </si>
  <si>
    <t>vref1p2</t>
  </si>
  <si>
    <t xml:space="preserve">Reference voltage for PLL_LDO
Default =1.5V
</t>
  </si>
  <si>
    <t>EN_PLL</t>
  </si>
  <si>
    <t xml:space="preserve">enable signal of PLL, high active. 
EN_PLL = “1”  Enables PLL. 
EN_PLL = “0”  disable PLL.
</t>
  </si>
  <si>
    <t>nrst</t>
  </si>
  <si>
    <t xml:space="preserve">reset signal of PLL, low active. 
nrst = “1”  Enables PLL. 
nrst = “0”  reset PLL.
</t>
  </si>
  <si>
    <t>clk_ext</t>
  </si>
  <si>
    <t xml:space="preserve">The reference clock of PLL from ext. 
Supports clock frequency range from 4MHz to 32MHz. 
</t>
  </si>
  <si>
    <t>0x00FE</t>
  </si>
  <si>
    <t>clk_soc</t>
  </si>
  <si>
    <t xml:space="preserve">The reference clock of PLL. 
Supports clock frequency range from 4MHz to 32MHz. 
</t>
  </si>
  <si>
    <t>[3:2]</t>
  </si>
  <si>
    <t>extclk_sel</t>
  </si>
  <si>
    <t xml:space="preserve">Reference clock selection of PLL, high active. 
extclk_sel = “0”  PLL ref clock=clk_soc. (default)
extclk_sel = “1”  PLL ref clock=clk_ext.
</t>
  </si>
  <si>
    <t>0x001D</t>
  </si>
  <si>
    <t>[5]</t>
  </si>
  <si>
    <t>CLKOUT</t>
  </si>
  <si>
    <t xml:space="preserve">Low frequency output clock of PLL. 
clkout_div[1:0]=2’b00f(CLKOUT)= f(CLKOUT_HF)/1;
 clkout_div[1:0]=2’b01 f(CLKOUT)= f(CLKOUT_HF)/2;
 clkout_div[1:0]=2’b10 f(CLKOUT)= f(CLKOUT_HF)/4;
 clkout_div[1:0]=2’b11 f(CLKOUT)= f(CLKOUT_HF)/8 
</t>
  </si>
  <si>
    <t>TOP:pll_inst_CLKOUT_HF</t>
  </si>
  <si>
    <t>CLKOUT_HF</t>
  </si>
  <si>
    <t xml:space="preserve">High frequency output clock of PLL 
The frequency range is from 100MHz to 300MHz 
</t>
  </si>
  <si>
    <t>pll_lock</t>
  </si>
  <si>
    <t xml:space="preserve">PLL lock indication signal, high active 
When PLL_LOCK= “1”, PLL is at lock state. 
When nrst=“0”, PLL_LOCK=“0”. 
</t>
  </si>
  <si>
    <t>lock_sel[1:0]</t>
  </si>
  <si>
    <t>The register3 for PLL-LPF 
Default value are 2’b00
 The registers which are used to controlling additional delay of pll_lock
lock_sel [1:0] T delay
lock_sel [1:0]= 2’b00 4us
lock_sel [1:0]= 2’b01 8us
lock_sel [1:0]= 2’b10 16us
lock_sel [1:0]= 2’b11 32us</t>
  </si>
  <si>
    <t>clkout_div[1:0]</t>
  </si>
  <si>
    <t>b01</t>
  </si>
  <si>
    <t xml:space="preserve">out-divider of the clock, divider rate: 1/2/4/8
T
clkout_div [1:0] division
00 =1
01 =2
10 =4
11 =8
</t>
  </si>
  <si>
    <t>ref_div[2:0]</t>
  </si>
  <si>
    <t>b101</t>
  </si>
  <si>
    <t xml:space="preserve">Pre-divider of the reference clock, divider rate: 1/2/3/4/5/6/7/8
Default:3’b011
ref_div[2:0] division
000 =1
001 =2
010 =3
011 =4
100 =5
101 =6
110 =7
111 =8
</t>
  </si>
  <si>
    <t>[6:4]</t>
  </si>
  <si>
    <t>fb_sel</t>
  </si>
  <si>
    <t>PLL feesback clock select: default=0
fb_sel=0,  feedback clock through signal div2
fb_sel=1,  feedback clock through differential div2</t>
  </si>
  <si>
    <t>0x001A</t>
  </si>
  <si>
    <t>[4]</t>
  </si>
  <si>
    <t>fb_prediv[1:0]</t>
  </si>
  <si>
    <t xml:space="preserve">Pre-divider of the loop feedback clock, divider rate:1/2/4/8
fb_prediv[1:0] division
00 =1
01 =2
10 =4
11 =8
</t>
  </si>
  <si>
    <t>[5:4]</t>
  </si>
  <si>
    <t>pfd_dly_tune</t>
  </si>
  <si>
    <t xml:space="preserve">PFD delay tune: default=0
pfd_dly_tune  = “1” ,decrease the delay 
pfd_dly_tune =“0”, delay is 300ps， default
</t>
  </si>
  <si>
    <t>reg1[4:0]</t>
  </si>
  <si>
    <t>b11111</t>
  </si>
  <si>
    <t xml:space="preserve">The register 1 for PLL-VCO. 
Default value are 5’b0001_1111 （[6 is frobidden）
 The registers which are used to controlling V-freq of VCO(vcp=0.56V) 
isel_vco[4:0]    Default CLK_VCO  KVCO(GH/z)
isel_vco[4:0]= 6  200MHz              0.87
isel_vco[4:0]= 8   247MHz               1.03
isel_vco[4:0]= 12  325MHz               1.33
isel_vco[4:0]= 13 336MHz               1.4
isel_vco[4:0]= 15  378MHz               1.52
isel_vco[4:0]= 20 459MHz               1.82
isel_vco[4:0]= 31  600MHz               2.36
</t>
  </si>
  <si>
    <t>0x0018</t>
  </si>
  <si>
    <t>reg2[4:0]</t>
  </si>
  <si>
    <t xml:space="preserve">The register 2 for PLL-CP. 
Default value are 5’b0001_1111 
 The registers which are used to controlling current of charge pmup , icp_sel=0, step=1uA
isel_cp[4:0]  Cp current (uA)
isel_cp[4:0]= 6  6
isel_ cp [4:0]= 15 15
isel_ cp [4:0]= 31  31
</t>
  </si>
  <si>
    <t>0x0019</t>
  </si>
  <si>
    <t>icp_sel</t>
  </si>
  <si>
    <t xml:space="preserve">Charge-pmup current control select Default value are 1’b0 
Choose a switch that provides a 50% current reduction
icp_sel=1, step=0.6uA
isel_cp[4:0]  Cp current (uA)
isel_cp[4:0]= 6  6*0.5
isel_ cp [4:0]= 15 15*0.5
isel_ cp [4:0]= 31  31*0.5
</t>
  </si>
  <si>
    <t>[3]</t>
  </si>
  <si>
    <t>cp2_en</t>
  </si>
  <si>
    <t xml:space="preserve">LPE chargepump2 enable
cap_sel=1: cp2 enable (default)
cap_sel=0: cap2 disable
</t>
  </si>
  <si>
    <t>cap_sel</t>
  </si>
  <si>
    <t xml:space="preserve">LPF cap2 enable, 
cap_sel=1: cap2 connect (default)
cap_sel=0: cap2 disconnect
</t>
  </si>
  <si>
    <t>[2]</t>
  </si>
  <si>
    <t>filt_byp</t>
  </si>
  <si>
    <t xml:space="preserve">Filter bypass (reserve) 
filt_byp=0 (default)
</t>
  </si>
  <si>
    <t>reg3[2:0]</t>
  </si>
  <si>
    <t xml:space="preserve">The register3 for PLL-LPF 
Default value are 3’b100
 The registers which are used to controlling resistor of LPF
reg3[2:0] R(kΩ)
reg3[2:0]= 3’b000 20
reg3[2:0]= 3’b001 20||80
reg3[2:0]= 3’b010 20||40
reg3[2:0]= 3’b100 20||20=10
</t>
  </si>
  <si>
    <t>reg4[2:0]</t>
  </si>
  <si>
    <t xml:space="preserve">The register4 for PLL-LPF 
Default value are 3’b100
 The registers which are used to controlling resistor of LPF
reg4[2:0] R(kΩ)
reg4[2:0]= 3’b000 14
reg4[2:0]= 3’b001 14||56
reg4[2:0]= 3’b010 14||28
reg4[2:0]= 3’b100 14||14=7
</t>
  </si>
  <si>
    <t>0x001B</t>
  </si>
  <si>
    <t>reg_ldo[7:0]</t>
  </si>
  <si>
    <t xml:space="preserve">reg_ldo[7:3] reserved
reg_ldo[2:0]Default value are 3’b011
reg_ldo[0]=1-] PLL_LDO enable
reg_ldo[0]=0-] PLL_LDO disable
reg_ldo[2:1] drive load
reg_ldo[2:1]= 2’b01 2mA
reg_ldo[2:1]= 2’b11 4mA
</t>
  </si>
  <si>
    <t>[7:0]</t>
  </si>
  <si>
    <t>byp_en</t>
  </si>
  <si>
    <t>reset signal of PLL, low active. ,default=0
byp_en = “0” PLL  work
byp_en = “1”  bypass PLL CLKOUT=clk_ext or clk_soc</t>
  </si>
  <si>
    <t>test_en</t>
  </si>
  <si>
    <t>min[6:0]</t>
  </si>
  <si>
    <t>b0000000</t>
  </si>
  <si>
    <t xml:space="preserve">min[6:0] 
The registers used to set the loop divider 
Divider rate: 1~127  
E.g. DIV_INT[6:0] = 7b’000_0000 The loop divider is 0.
DIV_INT[6:0] = 7b’010_0000 The loop divider is 32 
</t>
  </si>
  <si>
    <t>0x0023</t>
  </si>
  <si>
    <t>[6:0]</t>
  </si>
  <si>
    <t>kin[20:0]</t>
  </si>
  <si>
    <t>b000000000000000000000</t>
  </si>
  <si>
    <t xml:space="preserve">The fraction part of loop divider, the division rate is as follows: N=N_(KIN[20:0])/2^20 
  kin[20] is the sign bit. 
kin[20]= 1’b0  Plus fractional divider; kin[20]= 1’b1  Minus fractional divider; kin[20]=1’b0  Number{FRAC_LOOP}=kin[20:0] 
E.g.1 ss
kin[19:0]= 21’h80000   The fractional part of loop divider is 0.5 
kin[20]=1’b1 Number{FRAC_LOOP} = kin[20:0]-1 
 E.g.2 
kin[19:0]= 21’h40000   
The fractional part of loop divider is -0.75. 
</t>
  </si>
  <si>
    <t>0x0022;
0x0021;
0x0020;</t>
  </si>
  <si>
    <t>[7:0]；[7:0]；[4:0]</t>
  </si>
  <si>
    <t>dkin[18:0]</t>
  </si>
  <si>
    <t>b0000000000000000000</t>
  </si>
  <si>
    <t xml:space="preserve">SSC one step counter
dkin=(min+kin/2^20)*[SSC modulation]*2^20/upcntin;
example:
division number=22.68，fdiv=25MHz，SSC modulation frequency=30kHz。
MIN=23（四舍五入到整数）。
KIN计算为：KIN = (22.68 - 23) * 220 = -335544。UPCNTIN计算为：UPCNTIN = (1/4) * (1/30kHz) / (1/25MHz) = 208。
• DKIN计算为：DKIN = 22.68 * 0.2% * 2^20 / 208 = 229。
</t>
  </si>
  <si>
    <t xml:space="preserve">
0x0026;0x0025;
0x0024;</t>
  </si>
  <si>
    <t>[7:0]；[7:0]；[2:0]</t>
  </si>
  <si>
    <t>upcntin[9:0]</t>
  </si>
  <si>
    <t>b0000000000</t>
  </si>
  <si>
    <t xml:space="preserve">SSC period setting the counter number
Upcntin=(1/4)*[ssc period]/[ssc count 1 counter period]
Eg: ssc period=30kHz, freq_fb=4MHz
Upcntin=1/4*(30KHz)/(4MHz)
</t>
  </si>
  <si>
    <t>0x0027;0x0028;</t>
  </si>
  <si>
    <t>[7:0]；[1:0]</t>
  </si>
  <si>
    <t>ssc_en</t>
  </si>
  <si>
    <t xml:space="preserve">The enable signal for SDM mode, high active. 
The default value is 1’b0 
ssc_en = “1”  Enables SSC. 
ssc_en = “0”  No SDM mode, PLL works as an integer divider PLL. 
</t>
  </si>
  <si>
    <t>0x0029</t>
  </si>
  <si>
    <t>ssc_nrst</t>
  </si>
  <si>
    <t xml:space="preserve">The enable signal for SDM mode, high active. 
The default value is 1’b0 
ssc_nrst= “1”  reset release. 
ssc_en = “0”  reset ssc
</t>
  </si>
  <si>
    <t>ssc_byp</t>
  </si>
  <si>
    <t xml:space="preserve">The enable signal for SDM mode, high active. 
The default value is 1’b0 
ssc_byp = “1” bypass the SSC. 
ssc_byp = “0”  SSC work normal
</t>
  </si>
  <si>
    <t>nrstds</t>
  </si>
  <si>
    <t xml:space="preserve">The enable signal for fraction divider, high active. 
nrstds = “1”  fraction divider on. 
nrstds = “0”  fraction divider off. 
</t>
  </si>
  <si>
    <t>divn[6:0]</t>
  </si>
  <si>
    <t xml:space="preserve">divn[6:0] 
The registers used to set the loop divider 
Divider rate: 1~128  
E.g. DIV_INT[6:0] = 7b’000_0000 The loop divider is 1.
DIV_INT[6:0] = 7b’010_0000 The loop divider is 33 
</t>
  </si>
  <si>
    <t>0x002A</t>
  </si>
  <si>
    <t>pmu_model.pmu_inst</t>
  </si>
  <si>
    <t>VCC_PMU</t>
  </si>
  <si>
    <t>Input power supply</t>
  </si>
  <si>
    <t>VSS_PMU</t>
  </si>
  <si>
    <t>Analog ground (Clean ground!)</t>
  </si>
  <si>
    <t>VSSD_PMU</t>
  </si>
  <si>
    <t>digital ground</t>
  </si>
  <si>
    <t>VCC_LDO</t>
  </si>
  <si>
    <t>input supply for power PMOS of MLDO;
its voltage range is from 2.6V to 5.5V</t>
  </si>
  <si>
    <t>BAT</t>
  </si>
  <si>
    <t>POR detect</t>
  </si>
  <si>
    <t>TOP:EXT_LDO</t>
  </si>
  <si>
    <t>EXT_LDO</t>
  </si>
  <si>
    <t>reserved</t>
  </si>
  <si>
    <t>VCC_DT</t>
  </si>
  <si>
    <t>The power supply monitored by POR</t>
  </si>
  <si>
    <t>TOP:pmu_inst_IBP_pwr2</t>
  </si>
  <si>
    <t>IPB_pwr2[1:0]</t>
  </si>
  <si>
    <t>1.5V external power supply</t>
  </si>
  <si>
    <t>TOP:pmu_inst_Bond_por_hv</t>
  </si>
  <si>
    <t>Bond_por_hv[1:0]</t>
  </si>
  <si>
    <t xml:space="preserve">bond_por_hv[1] =1, vth_rise=2.3V 
vth_fall=2.2V.(default)
bond_por_hv[1] =0, vth_rise=2.1V ,
vth_fall=2.0V.
bond_por_hv[0]=1, enable por;
bond_por_hv[0]=0, disable por, rstn_por_lv=1 ; 
</t>
  </si>
  <si>
    <t>Thereset signal of VCC_PMU low level indicates
reset staterstn_por_lv =”0”-] Reset state, the
VCC_PMU is not OK;
rstn_por_lv=”1”-] Normal state, theVCC_PMU is
OK.</t>
  </si>
  <si>
    <t>lvd_eflash_en_lv</t>
  </si>
  <si>
    <t>bor_en_lv</t>
  </si>
  <si>
    <t>0x002C</t>
  </si>
  <si>
    <t>reg_lvd_eflash_lv[3:0]</t>
  </si>
  <si>
    <t>reg_bor_lv[3:0]</t>
  </si>
  <si>
    <t>[7:4]</t>
  </si>
  <si>
    <t>rstn_lvd_flash_lv</t>
  </si>
  <si>
    <t>RSTN_BOR_LV</t>
  </si>
  <si>
    <t>0x002D</t>
  </si>
  <si>
    <t>pvd_en_lv</t>
  </si>
  <si>
    <t>the enable signal of PVD, high active
pvd_en_lv=”0”-]disable PVD， rstn_pvd_lv=”1” ；
pvd_en_lv =”1” -]enable PVD.</t>
  </si>
  <si>
    <t>0x002E</t>
  </si>
  <si>
    <t>reg_pvd_lv[3:0]</t>
  </si>
  <si>
    <t>b000</t>
  </si>
  <si>
    <t>reg_pvd_lv[3:0]
Theregisters to configurethedetector voltage of the
VCC_PMU
reg_pvd_lv[3:0] =4b’1111-]vr=5.39V , vf=5.24V ；
reg_pvd_lv[3:0] =4b’1110-]vr=5.1V, vf=4.96V ；
reg_pvd_lv[3:0] =4b’1101-]vr=4.79V,vf=4.67V ；
reg_pvd_lv[3:0] =4b’1100-]vr=4.55V,vf=4.44V ；
reg_pvd_lv[3:0] =4b’1011-]vr=4.34V,vf=4.24V ；
reg_pvd_lv[3:0] =4b’1010-]vr=4.15V,vf=4.03V ；
reg_pvd_lv[3:0] =4b’1001-]vr=3.91V,
vf=3.81V ；
reg_pvd_lv[3:0] =4b’1000-]vr=3.7V ,
vf=3.56V ；
reg_pvd_lv[3:0] =4b’0111-]vr=3.47V, vf=3.37V ；
reg_pvd_lv[3:0] =4b’0110-]vr=3.25V, vf=3.14V ；
reg_pvd_lv[3:0] =4b’0101-]vr=3.04V,
vf=2.93V ；
reg_pvd_lv[3:0] =4b’0100-]vr=2.82V,
vf=2.71V ；
reg_pvd_lv[3:0] =4b’0011-]vr=2.6V, vf=2.49V ；
reg_pvd_lv[3:0] =4b’0010-]vr=2.38V,
vf=2.28V ；</t>
  </si>
  <si>
    <t xml:space="preserve"> 0x002E</t>
  </si>
  <si>
    <t>rstn_pvd_lv</t>
  </si>
  <si>
    <t>Thereset signal of VCC_PMU, low level indicates
reset state
rstn_pvd_lv =”0”-] Reset state, theVCC_PMU is
below thedetector voltage;
rstn_pvd_lv =”1”-] Normal state, theVCC_PMU is
above the detector voltage.
When pvd_en_lv =”0”-] rstn_pvd_lv =”1”’</t>
  </si>
  <si>
    <t>0x002F</t>
  </si>
  <si>
    <t>TOP:pmu_inst_ext_ldo_en_hv</t>
  </si>
  <si>
    <t>ext_ldo_en_hv</t>
  </si>
  <si>
    <t>1.5V测试使能信号：使能之前，先将外部 1.5V
电源从EXT_LDO 端口输入，然后将
ext_ldo_en_lv 信号置为”1”, 进入测试模式LPBGP
保持开启（需要芯片上电完成之后） ， 此时芯
片内部V12AON /V12M输 出 关 闭 （由外部
1.5V电源提供）， V12M_OK_LV 信号强制
为”1”;
此时可以改变外部 1.5V 电压，来测试该部分负
载电路的可工作电源范围。注意控制时序。
测试结束时，撤去外灌的 1.5V 电压（无论</t>
  </si>
  <si>
    <t>reg_lpbgp_lv[5:0]</t>
  </si>
  <si>
    <t>b000000</t>
  </si>
  <si>
    <t xml:space="preserve"> 0x0031</t>
  </si>
  <si>
    <t>V12_AON</t>
  </si>
  <si>
    <t>1.5V always-on power for always on domain the
output of LPLDO
No need external capacitor for V12_AON, the
driving ability is 200uA</t>
  </si>
  <si>
    <t>TOP:pmu_inst_IAO_60N</t>
  </si>
  <si>
    <t>IAO_60N[1:0]</t>
  </si>
  <si>
    <t>TOP:pmu_inst_IAO_240N</t>
  </si>
  <si>
    <t>IAO_240N[1:0]</t>
  </si>
  <si>
    <t>240nA--]CMP</t>
  </si>
  <si>
    <t>reg_lpldo_lv[4:0]</t>
  </si>
  <si>
    <t>b00000</t>
  </si>
  <si>
    <t>Theregisters to configurethereferencevoltage of
the LPLDO;
reg_lpldo_lv [4:0] (最高位反向)
reg_lpldo_lv [4:0] =5b’111111-]1.185V
……（14.9mV/step）
reg_lpldo_lv [4:0]=5b’10000]1.006V(min)
reg_lpldo_lv [4:0]=5b’01111]1.46V(max)
……（14.9mV/step）
reg_lpldo_lv [4:0] =5b’00000-]1.5V(default)</t>
  </si>
  <si>
    <t xml:space="preserve"> 0x0032</t>
  </si>
  <si>
    <t>TOP:pmu_inst_V12AON_OK_HV</t>
  </si>
  <si>
    <t>V12AON_OK_HV</t>
  </si>
  <si>
    <t>Thereset signal of V12_AON low level indicates
reset state
V12AON_OK_HV=”0”-] Reset state, the
V12_AON is not OK;
V12AON_OK_HV =”1”-] Normal state, the
V12_AON is OK.</t>
  </si>
  <si>
    <t>V12AON_OK_LV</t>
  </si>
  <si>
    <t>Thereset signal of V12_AON low level indicates
reset state
V12AON_OK_LV=”0”-] Reset state, theV12_AON
is not OK;
V12AON_OK_LV =”1”-] Normal state, the
V12_AON is OK.</t>
  </si>
  <si>
    <t>0x0034</t>
  </si>
  <si>
    <t>mldo_en_lv</t>
  </si>
  <si>
    <t>Theenable signal of MLDO, high active mldo_en_lv
=”0”-]disable MLDO， and V12M=0(约 100k 下
拉电阻);
mldo_en_lv =”1”-]enable MLDO and
V12M=1.5V；
MLDO 要正常工作，需要 HQBGP &amp;VREF先启
动。</t>
  </si>
  <si>
    <t xml:space="preserve"> 0x0030</t>
  </si>
  <si>
    <t>TOP:pmu_inst_V12M</t>
  </si>
  <si>
    <t>V12M</t>
  </si>
  <si>
    <t>Theoutput of MLDO.
the driving ability is 100mA@VCC_PMU&amp;
VCCP_PMU ≥ 2.6V；</t>
  </si>
  <si>
    <t>V12M_clk</t>
  </si>
  <si>
    <t>the output of MLDO for 32M/PLL</t>
  </si>
  <si>
    <t>TOP:pmu_inst_V12M_flash</t>
  </si>
  <si>
    <t>V12M_flash</t>
  </si>
  <si>
    <t>the output of MLDO for eflash</t>
  </si>
  <si>
    <t>V12M_adc</t>
  </si>
  <si>
    <t>the output of MLDO for adc</t>
  </si>
  <si>
    <t>reg_ocp_en_lv</t>
  </si>
  <si>
    <t>reg_ocp_en_lv=1, mldo_ocp_en=1,
mldo_scp_en=1;
reg_ocp_en_lv=0, mldo_ocp_en=0,
mldo_scp_en=0;</t>
  </si>
  <si>
    <t>reg_mldo_lv[4:0]</t>
  </si>
  <si>
    <t>reg_mldo_lv[4:0] Theregisters to configurethe
output voltage of the MLDO;
reg_mldo_lv[4:0](最高位反向)
reg_mldo_lv[4:0]=5b’1111 V12M =1.186V
…… （13.8mV/step）
reg_mldo_lv[4:0]=5b’10000 V12M = 1.013V
(min)
reg_mldo_lv[4:0]=5b’01111 V12M = 1.456V(max)
…… （13.8mV/step）
reg_mldo_lv[4:0]=5b’00000 V12M =1.205V
(default)</t>
  </si>
  <si>
    <t xml:space="preserve"> 0x0033</t>
  </si>
  <si>
    <t>V12M_OK_LV</t>
  </si>
  <si>
    <t>MLDO OK indication signal (1.5V), high active.e
V12M_OK_LV=”0”-] The output voltage of MLDO
is not OK
V12M_OK_LV =”1”-] Theoutput voltage of
MLDO is OK
When ext_ldo_en_lv=”1”-]V12M_OK_LV =”1”
When mldo_en_lv=”0”&amp;ext_ldo_en_lv=”0” -
-] V12M_OK_LV =”0”</t>
  </si>
  <si>
    <t>VREF1P2</t>
  </si>
  <si>
    <t>BUFFER VREF1P2 voltage output
When hqbgp_en_lv &amp; reg_buffer_en_lv =”1”
VREF1P2= vbg1p2hq =1.2;
When hqbgp_en_lv=0 | reg_buffer_en_lv =”0”
， VREF1P2=0V
VREF1P2ADC</t>
  </si>
  <si>
    <t>reg_buffer_en_lv</t>
  </si>
  <si>
    <t>Theenable signal of BUFFER
reg_buffer_en_lv =”0”-]disable BUFFER
reg_buffer_en_lv =”1”-]enable BUFFER； 注意：
MLDO 为外供电状态下，ext_ldo_en_lv 信 号
为”1”，此时仍然可以通过将 reg_buffer_en_lv
置为”1”来使 得 VREF1P0 正常输出；</t>
  </si>
  <si>
    <t>[6]</t>
  </si>
  <si>
    <t>TOP:pmu_inst_VREF0P8_MON</t>
  </si>
  <si>
    <t>VREF0P8_MON</t>
  </si>
  <si>
    <t>TOP:pmu_inst_VREF0P8</t>
  </si>
  <si>
    <t>VREF0P8</t>
  </si>
  <si>
    <t>TOP:pmu_inst_VREF0P6</t>
  </si>
  <si>
    <t>VREF0P6</t>
  </si>
  <si>
    <t>TOP:pmu_inst_Ibias_ts</t>
  </si>
  <si>
    <t>Ibias_ts</t>
  </si>
  <si>
    <t>TOP:pmu_inst_Ibias_buffer</t>
  </si>
  <si>
    <t>Ibias_buffer</t>
  </si>
  <si>
    <t>Ibias_0p5u[2:0]</t>
  </si>
  <si>
    <t>TOP:pmu_inst_Ibias_1u</t>
  </si>
  <si>
    <t>Ibias_1u[1:0]</t>
  </si>
  <si>
    <t>1uA, Ibias_1u[1]ADC</t>
  </si>
  <si>
    <t>TOP:pmu_inst_Ibias_5u</t>
  </si>
  <si>
    <t>Ibias_5u[1:0]</t>
  </si>
  <si>
    <t>[5:2]floating</t>
  </si>
  <si>
    <t>Ibias_5u_N</t>
  </si>
  <si>
    <t>TOP:pmu_inst_I5uA_OSC_N</t>
  </si>
  <si>
    <t>I5uA_OSC_N</t>
  </si>
  <si>
    <t>TOP:pmu_inst_Ibias_10u</t>
  </si>
  <si>
    <t>Ibias_10u[1:0]</t>
  </si>
  <si>
    <t>10uA</t>
  </si>
  <si>
    <t>TOP:pmu_inst_Iptat_1u</t>
  </si>
  <si>
    <t>Iptat_1u[1:0]</t>
  </si>
  <si>
    <t xml:space="preserve">Ibias_1u[5:4]
</t>
  </si>
  <si>
    <t>TOP:pmu_inst_V12_DIG</t>
  </si>
  <si>
    <t>V12_DIG</t>
  </si>
  <si>
    <t>test_en_lv</t>
  </si>
  <si>
    <t>测试使能信号，控制 TEST_OUT，POR 和PVD
的测试状态，LPLDO 和 VREF 和 MLDO 的测
试不受影响。 test_en_lv=0-]非测试模式，无法
选择 TEST_OUT， POR 和PVD 进行测试；
TEST_OUT 此时浮空； test_en_lv=1-]测试模式1
（test1 enable），通过配置寄存器来选择对应 的
测试项；</t>
  </si>
  <si>
    <t xml:space="preserve"> 0x0037</t>
  </si>
  <si>
    <t>reg_test_lv[4:0]</t>
  </si>
  <si>
    <t>reg_test_lv[4]=1 : buffer enable;
reg_test_lv[4]=0 : buffer disable;
reg_test_lv[3]=1 : Test1 enable;
reg_test_lv[3]=0 : Test2 enable;
test_en_lv=1&amp; reg_test_lv[3]=1 TEST_OUT=test1
(可以开buffer)
reg_test_lv[2:0]=000: TEST_OUT=vbg1p0;
reg_test_lv[2:0]=001: TEST_OUT=vbg1p2;（pvd、
por以及vref模块的参考电压）
reg_test_lv[2:0]=010: TEST_OUT=vref0p6;
（MLDO的参考电压）
reg_test_lv[2:0]=011: TEST_OUT=VREF0P8;
（eflash的参考电压）
reg_test_lv[2:0]=100: TEST_OUT=vdd1p2_ao;
(LPLDO 的输出)
reg_test_lv[2:0]=101: TEST_OUT=vdd1p2; (MLDO
的输出)
reg_test_lv[2:0]=110: TEST_OUT=V12_AON;
reg_test_lv[2:0]=111: TEST_OUT=V12M;
;
test_en_lv=1&amp; reg_test_lv[3]=0 TEST_OUT=test2
reg_test_lv[2:0]=000: TEST_OUT=VSS_PMU;
reg_test_lv[2:0]=001: TEST_OUT=vbg_ok_hv;
reg_test_lv[2:0]=010: TEST_OUT=Ibias5u[4];（会</t>
  </si>
  <si>
    <t>TOP:pmu_inst_TEST_OUT</t>
  </si>
  <si>
    <t>TEST_OUT</t>
  </si>
  <si>
    <t>TOP:pmu_inst_lsft_en_hv</t>
  </si>
  <si>
    <t>ls_en_hv</t>
  </si>
  <si>
    <t>Floating</t>
  </si>
  <si>
    <t>reg_pmu[31:0]</t>
  </si>
  <si>
    <t>b00000000000000000000000000000000</t>
  </si>
  <si>
    <t>reg_pmu[1:0]=reg_pd_lv[1:0]
reg_pmu[2]=reg_tsensor_en_lv</t>
  </si>
  <si>
    <t xml:space="preserve"> 0x003B
 0x003A 
 0x0039
0x0038</t>
  </si>
  <si>
    <t>[7:0]
[7:0]
[7:0]
[7:0]</t>
  </si>
  <si>
    <t>TOP:</t>
  </si>
  <si>
    <t>Vtsensor</t>
  </si>
  <si>
    <t>test_in[3:0]</t>
  </si>
  <si>
    <t>增加内部模拟连接</t>
  </si>
  <si>
    <t>cmp_model.cmp_inst</t>
  </si>
  <si>
    <t>TOP:cmp_inst_AI_VC_POC_5V</t>
  </si>
  <si>
    <t>AI_VC_POC_5V</t>
  </si>
  <si>
    <t>POR逻辑取反，即AI_VC_POC_5V为低电平复位，高电平释放。</t>
  </si>
  <si>
    <t>TOP:pmu_inst_Ibias_1u[0]</t>
  </si>
  <si>
    <t>AI_VC_IBN</t>
  </si>
  <si>
    <t>From current source, ZTAT电流</t>
  </si>
  <si>
    <t>TOP:pmu_inst_Ibias_2u[0]</t>
  </si>
  <si>
    <t>AI_VC_IBN2U</t>
  </si>
  <si>
    <t>TOP:pmu_inst_IAO_60N[0]</t>
  </si>
  <si>
    <t>AI_VC_IBN60N</t>
  </si>
  <si>
    <t>From current source</t>
  </si>
  <si>
    <t>TOP:pmu_inst_IAO_240N[0]</t>
  </si>
  <si>
    <t>AI_VC_IBN240N</t>
  </si>
  <si>
    <t>TOP:cmp_inst_AI_VC_VIN</t>
  </si>
  <si>
    <t>AI_VC_PAD_VIN[1:0]</t>
  </si>
  <si>
    <t>接I/O PAD</t>
  </si>
  <si>
    <t>TOP:cmp_inst_AI_INN</t>
  </si>
  <si>
    <t>AI_VC_IN_VIN[1:0]</t>
  </si>
  <si>
    <t>接芯片内部信号</t>
  </si>
  <si>
    <t>LI_VC_INN_SEL</t>
  </si>
  <si>
    <t>现减至一位</t>
  </si>
  <si>
    <t xml:space="preserve"> 0x0040</t>
  </si>
  <si>
    <t>LI_VC_INP_SEL</t>
  </si>
  <si>
    <t xml:space="preserve"> 0x0041</t>
  </si>
  <si>
    <t>LI_VC_BIAS_SEL[1:0]</t>
  </si>
  <si>
    <t xml:space="preserve"> 0x0042</t>
  </si>
  <si>
    <t>LI_VC_EN</t>
  </si>
  <si>
    <t>0: 关闭；1: 打开；</t>
  </si>
  <si>
    <t>0x0043</t>
  </si>
  <si>
    <t>LI_VC_HYS_SEL[2:0]</t>
  </si>
  <si>
    <t>原[1:0] 现[2:0]</t>
  </si>
  <si>
    <t>LO_VC_OUT</t>
  </si>
  <si>
    <t>pga_model.pga_inst</t>
  </si>
  <si>
    <t>VDD</t>
  </si>
  <si>
    <t>Digital 1.5V power supply</t>
  </si>
  <si>
    <t>AVCC</t>
  </si>
  <si>
    <t>除驱动管以外的5V供电</t>
  </si>
  <si>
    <t>AVSS</t>
  </si>
  <si>
    <t>单独给驱动管供电</t>
  </si>
  <si>
    <t>PVCC</t>
  </si>
  <si>
    <t>除驱动管以外的地线</t>
  </si>
  <si>
    <t>PVSS</t>
  </si>
  <si>
    <t>驱动管地线</t>
  </si>
  <si>
    <t>PA5:</t>
  </si>
  <si>
    <t>AI_PGA_VIP</t>
  </si>
  <si>
    <t>OPA正端输入</t>
  </si>
  <si>
    <t>PA4:</t>
  </si>
  <si>
    <t>AI_PGA_VIN</t>
  </si>
  <si>
    <t>OPA负端输入</t>
  </si>
  <si>
    <t>AI_IN_1U</t>
  </si>
  <si>
    <t>ZTAT电流</t>
  </si>
  <si>
    <t>TOP:pga_inst_POC_INI</t>
  </si>
  <si>
    <t>POC_INI</t>
  </si>
  <si>
    <t>POR逻辑取反，即POC_VCC5为低电平复位，高电平释放。</t>
  </si>
  <si>
    <t>LI_PGA_BIAS_SEL[2:0]</t>
  </si>
  <si>
    <t>默认值3'b011</t>
  </si>
  <si>
    <t xml:space="preserve"> 0x0044</t>
  </si>
  <si>
    <t>LI_PGA_EN</t>
  </si>
  <si>
    <t>1‘b1使能，1'b0关闭</t>
  </si>
  <si>
    <t xml:space="preserve"> 0x0046</t>
  </si>
  <si>
    <t>LI_PGA_GAIN[1:0]</t>
  </si>
  <si>
    <t>2’b00:10, 2'b01:20, 2'b10:40, 2'b11:60;</t>
  </si>
  <si>
    <t xml:space="preserve"> 0x0045</t>
  </si>
  <si>
    <t>LI_CAL_EN</t>
  </si>
  <si>
    <t xml:space="preserve"> 0x0047</t>
  </si>
  <si>
    <t>LI_CAL_SEL[1:0]</t>
  </si>
  <si>
    <t>2’b00:3%AVCC, 2'b01:10%AVCC, 2'b10:50%AVCC, 2'b11:90%AVCC;</t>
  </si>
  <si>
    <t>[2:1]</t>
  </si>
  <si>
    <t>LI_TRIM_OFFSETN[5:0]</t>
  </si>
  <si>
    <t>最高位为+/-控制位</t>
  </si>
  <si>
    <t xml:space="preserve"> 0x0048</t>
  </si>
  <si>
    <t>LI_TRIM_OFFSETP[5:0]</t>
  </si>
  <si>
    <t xml:space="preserve"> 0x0049</t>
  </si>
  <si>
    <t>LI_VCOM_EN</t>
  </si>
  <si>
    <t xml:space="preserve"> 0x004A</t>
  </si>
  <si>
    <t>LI_VCOM_MUX</t>
  </si>
  <si>
    <t>LI_VCOM_SEL[2:0]</t>
  </si>
  <si>
    <t>000: 0, 001: VREF12, 010: 1.25*VREF12, 011(default): 1.5*VREF12
100: 2*VREF12, 101: 2.5*VREF12, 11X: 2.5*VREF12;</t>
  </si>
  <si>
    <t>LI_VCOM_TEST</t>
  </si>
  <si>
    <t>VCOM电压测试信号</t>
  </si>
  <si>
    <t>PGA_VREF1P2</t>
  </si>
  <si>
    <t xml:space="preserve">PA6: </t>
  </si>
  <si>
    <t>AO_PGA_VOUT</t>
  </si>
  <si>
    <t>PGA输出</t>
  </si>
  <si>
    <t>PA7: YAR</t>
  </si>
  <si>
    <t>AO_PGA_VCOM</t>
  </si>
  <si>
    <t>PGA VCOM输出/输入</t>
  </si>
  <si>
    <t>dac_model.dac_inst</t>
  </si>
  <si>
    <t>TOP:dac_inst_VREFP</t>
  </si>
  <si>
    <t>VREFP</t>
  </si>
  <si>
    <t>Positive reference voltage(Analog power)</t>
  </si>
  <si>
    <t>TOP:dac_inst_VREFN</t>
  </si>
  <si>
    <t>Negtive reference viltage(Analog ground)</t>
  </si>
  <si>
    <t>TOP:dac_inst_V12</t>
  </si>
  <si>
    <t>V15</t>
  </si>
  <si>
    <t>Digital Power</t>
  </si>
  <si>
    <t>P50</t>
  </si>
  <si>
    <t>power mos power，2mA</t>
  </si>
  <si>
    <t>V50</t>
  </si>
  <si>
    <t>Analog power</t>
  </si>
  <si>
    <t>TOP:pmu_inst_Ibias_5u[0]</t>
  </si>
  <si>
    <t>IBP5U</t>
  </si>
  <si>
    <t>PGND</t>
  </si>
  <si>
    <t>VSS</t>
  </si>
  <si>
    <t>AGND</t>
  </si>
  <si>
    <t>LI_DIN[11:0]</t>
  </si>
  <si>
    <t>b000000000000</t>
  </si>
  <si>
    <t>12 bit input data</t>
  </si>
  <si>
    <t xml:space="preserve"> 0x004D;0x004C</t>
  </si>
  <si>
    <t>[3:0];[7:0]</t>
  </si>
  <si>
    <t>DAC enable,when LI_EN=0,disable DAC ,OUT=0V</t>
  </si>
  <si>
    <t xml:space="preserve"> 0x004E</t>
  </si>
  <si>
    <t>LI_ENBUF</t>
  </si>
  <si>
    <t>Buffer enable,only when LI_EN=1 &amp; LI_ENBUF=1,  enable buffer，other case disable buffer</t>
  </si>
  <si>
    <t xml:space="preserve"> 0x004F</t>
  </si>
  <si>
    <t>TOP:dac_inst_DAC_OUT</t>
  </si>
  <si>
    <t>DAC_OUT</t>
  </si>
  <si>
    <t>Analog output</t>
  </si>
  <si>
    <t>osc48m_model.osc48m_inst</t>
  </si>
  <si>
    <t>DVSS</t>
  </si>
  <si>
    <t>Analog ground</t>
  </si>
  <si>
    <t>osc48m_model.osc49m_inst</t>
  </si>
  <si>
    <t>DVDD12</t>
  </si>
  <si>
    <t>osc48m_model.osc50m_inst</t>
  </si>
  <si>
    <t>AVCC5</t>
  </si>
  <si>
    <t>Analog 5V power  supply</t>
  </si>
  <si>
    <t>osc48m_model.osc51m_inst</t>
  </si>
  <si>
    <t>osc48m_model.osc52m_inst</t>
  </si>
  <si>
    <t>TOP:osc48m_inst_POC_VCC5</t>
  </si>
  <si>
    <t>POC_VCC5</t>
  </si>
  <si>
    <t>POC信号, 来自PMU POR</t>
  </si>
  <si>
    <t>osc48m_model.osc53m_inst</t>
  </si>
  <si>
    <t>LI_RC48M_EN</t>
  </si>
  <si>
    <t>振荡器使能，1有效</t>
  </si>
  <si>
    <t xml:space="preserve"> 0x0053</t>
  </si>
  <si>
    <t>osc48m_model.osc54m_inst</t>
  </si>
  <si>
    <t>LI_RC48M_FOTP[9:0]</t>
  </si>
  <si>
    <t>b0100001110</t>
  </si>
  <si>
    <t>振荡器频率微调</t>
  </si>
  <si>
    <t xml:space="preserve"> 0x0051;  0x0050</t>
  </si>
  <si>
    <t>[0];[7:0]</t>
  </si>
  <si>
    <t>osc48m_model.osc55m_inst</t>
  </si>
  <si>
    <t>LI_RC48M_TC[3:0]</t>
  </si>
  <si>
    <t>振荡器频率温漂调节</t>
  </si>
  <si>
    <t xml:space="preserve"> 0x0052</t>
  </si>
  <si>
    <t>osc48m_model.osc56m_inst</t>
  </si>
  <si>
    <t>LI_RC48M_FSEL[1:0]</t>
  </si>
  <si>
    <t>振荡器频率挡位选择</t>
  </si>
  <si>
    <t>osc48m_model.osc57m_inst</t>
  </si>
  <si>
    <t>TOP:pmu_inst_Ibias_1u[2]</t>
  </si>
  <si>
    <t>IB_IU</t>
  </si>
  <si>
    <t>偏置电流1uA</t>
  </si>
  <si>
    <t>osc48m_model.osc58m_inst</t>
  </si>
  <si>
    <t>VREF_1P2</t>
  </si>
  <si>
    <t>参考电压1.5V, 来自PMU</t>
  </si>
  <si>
    <t>osc48m_model.osc59m_inst</t>
  </si>
  <si>
    <t>LO_RC48M_CLKOUT</t>
  </si>
  <si>
    <t>振荡器时钟输出</t>
  </si>
  <si>
    <t>top_model.top_inst</t>
  </si>
  <si>
    <t>top_mux[3:0]</t>
  </si>
  <si>
    <t xml:space="preserve"> 0x0054</t>
  </si>
  <si>
    <t>top_reg[31:0]</t>
  </si>
  <si>
    <t>b00000000000000000010001000000001</t>
  </si>
  <si>
    <t xml:space="preserve"> 0x005B;0x005A;0x0059;0x0058;</t>
  </si>
  <si>
    <t>[7:0];[7:0];[7:0];[7:0];</t>
  </si>
  <si>
    <t>top_poc_reg[7:0]</t>
  </si>
  <si>
    <t>b00000000</t>
  </si>
  <si>
    <t xml:space="preserve"> 0x0056</t>
  </si>
  <si>
    <t>top_test_sel[4:0]</t>
  </si>
  <si>
    <t xml:space="preserve"> 0x0055</t>
  </si>
  <si>
    <t>padring_mode.pad_ring_inst</t>
  </si>
  <si>
    <t>DI[35:0]</t>
  </si>
  <si>
    <t>b000000000000000000000000000000000000</t>
  </si>
  <si>
    <t>OE[35:0]</t>
  </si>
  <si>
    <t>IE[35:0]</t>
  </si>
  <si>
    <t>b111111111111111111111111111111111111</t>
  </si>
  <si>
    <t xml:space="preserve">Input enable signal, high active 
IE= “0” Disables the input buffer 
IE= “1” Enables the input buffer;
</t>
  </si>
  <si>
    <t>IS[35:0]</t>
  </si>
  <si>
    <t xml:space="preserve">Input mode controlling signal 
IS= “0” Schmitt input; 
IS= “1”  Buffer input 
</t>
  </si>
  <si>
    <t>PE[35:0]</t>
  </si>
  <si>
    <t>b000000000000000000100100000000000000</t>
  </si>
  <si>
    <t xml:space="preserve">Pull resistor enable signal. 
Logic HIGH enables pull device. 
</t>
  </si>
  <si>
    <t>PS[35:0]</t>
  </si>
  <si>
    <t>b000000000000000000000100000000000000</t>
  </si>
  <si>
    <t xml:space="preserve">Pull resistor selection signal. Logic HIGH selects pull-up, logic LOW selected pull-down. </t>
  </si>
  <si>
    <t>DR[71:0]</t>
  </si>
  <si>
    <t>b010101010101010101010101010101010101010101010101010101010101010101010101</t>
  </si>
  <si>
    <t xml:space="preserve">Used to select output drive strength. DR[1:0]=2’b10 is default value. </t>
  </si>
  <si>
    <t>DC[35:0]</t>
  </si>
  <si>
    <t xml:space="preserve">Output data to core </t>
  </si>
  <si>
    <t>REG_XTAL32K[7:0]</t>
  </si>
  <si>
    <t>b00110100</t>
  </si>
  <si>
    <t xml:space="preserve">Registers to control operating current, AGC function and oscillate state check function of crystal OSC. 
Default value 8b’0111_0100 
Note：1.8/1.08_125℃_ff&amp;fs case need add operating current adjust 
8b’0111_0101 
REG_XTAL32K[2:0] 
Registers to control operating current of crystal OSC; 
REG_XTAL32K[2:0]=3’b100 is default value. 
REG_XTAL32K [3] 
Reserved
REG_XTAL32K[4] 
Internal RF resistor select signal 
Only effect when 
REG_XTAL32K[5]=“1” 
REG_XTAL32K[4]=“1”Select 
10Mohm internal RF resistor (mos) 
REG_XTAL32K[4]=“0”Select 
15Mohm internal RF resistor (mos) REG_XTAL32K[4]=1’b1 is default value. 
REG_XTAL32K[5]
Internal RF resistor enable signal
REG_XTAL32K[5]=“1”Enable
internal RF resistor
REG_XTAL32K[5]=“0”Disable
internal RF resistor
When REG_XTAL32K[5]=“0” , need 10Mohm resistor on PCB
REG_XTAL32K[5]=1’b1 is default value.
REG_XTAL32K[7:6]
Reserved.
</t>
  </si>
  <si>
    <t>REG_XTALMF[7:0]</t>
  </si>
  <si>
    <t>b00101010</t>
  </si>
  <si>
    <t xml:space="preserve">Registers to control operating current, AGC function and oscillate state check function of crystal OSC. 
REG_XTALMF [3:0] 
Registers to control operating current of crystal OSC; 
REG_XTALMF [3:0]=4’b1101 is default value, 
REG_XTALMF 
[3:0]  Recommended frequency range of the crystal (Hz) 
4b’0010  4M 
4b’0011  8M 
4b’0101  16M 
4b’1000  24M 
4b’1010  32M 
4b’1100  48M 
REG_XTALMF [4] 
Default = 0; 
REG_XTALMF [7:5]   reserved
</t>
  </si>
  <si>
    <t>XTAL32K_BYP</t>
  </si>
  <si>
    <t>XTAL32K_EN</t>
  </si>
  <si>
    <t>XTAL_BYP</t>
  </si>
  <si>
    <t>XTAL_EN</t>
  </si>
  <si>
    <t>ext_ldo_en_c</t>
  </si>
  <si>
    <t>ext_rstn_c</t>
  </si>
  <si>
    <t>ext_rstn_en_c</t>
  </si>
  <si>
    <t>XC</t>
  </si>
  <si>
    <t>XTAL32K_XC</t>
  </si>
  <si>
    <t>DEC_BYTE_ADDR</t>
  </si>
  <si>
    <t>REG32_NAME</t>
  </si>
  <si>
    <t>REG_NAME</t>
  </si>
  <si>
    <t>REG_FIELD</t>
  </si>
  <si>
    <t>CHIPID_WADDR</t>
  </si>
  <si>
    <t>CHIP_ID_0</t>
  </si>
  <si>
    <t>chip_id_0[0x90]</t>
  </si>
  <si>
    <t>CHIP_ID_1</t>
  </si>
  <si>
    <t>chip_id_1[0x00]</t>
  </si>
  <si>
    <t>CHIP_ID_2</t>
  </si>
  <si>
    <t>verion_id[0x01]</t>
  </si>
  <si>
    <t>CHIP_ID_3</t>
  </si>
  <si>
    <t>ADC_WADDR_0</t>
  </si>
  <si>
    <t>ADC_Byte_0</t>
  </si>
  <si>
    <t>adc_inst_BOUTL_0</t>
  </si>
  <si>
    <t>ADC_Byte_1</t>
  </si>
  <si>
    <t>adc_inst_BOUTL_1</t>
  </si>
  <si>
    <t>ADC_Byte_2</t>
  </si>
  <si>
    <t>adc_inst_LI_ADC_VINSEL</t>
  </si>
  <si>
    <t>ADC_Byte_3</t>
  </si>
  <si>
    <t>adc_inst_LI_ADC_VREFTRIM[0x8]</t>
  </si>
  <si>
    <t>ADC_WADDR_1</t>
  </si>
  <si>
    <t>ADC_Byte_4</t>
  </si>
  <si>
    <t>adc_inst_LI_ADC_SAMPT</t>
  </si>
  <si>
    <t>ADC_Byte_5</t>
  </si>
  <si>
    <t>adc_inst_LI_ADC_VREFSEL[0x3]</t>
  </si>
  <si>
    <t>ADC_Byte_6</t>
  </si>
  <si>
    <t>adc_inst_EOCL</t>
  </si>
  <si>
    <t>ADC_Byte_7</t>
  </si>
  <si>
    <t>adc_inst_Single</t>
  </si>
  <si>
    <t>adc_inst_LI_ADC_SOC</t>
  </si>
  <si>
    <t>adc_inst_LI_ADC_EN</t>
  </si>
  <si>
    <t>OSC32M_WADDR_0</t>
  </si>
  <si>
    <t>OSC32M_Byte_0</t>
  </si>
  <si>
    <t>osc32m_inst_CTUNE[0x1E]</t>
  </si>
  <si>
    <t>OSC32M_Byte_1</t>
  </si>
  <si>
    <t>osc32m_inst_FTUNE[0x10]</t>
  </si>
  <si>
    <t>OSC32M_Byte_2</t>
  </si>
  <si>
    <t>osc32m_inst_REG_IOP_SEL[0x2]</t>
  </si>
  <si>
    <t>OSC32M_Byte_3</t>
  </si>
  <si>
    <t>osc32m_inst_Temp[0x3]</t>
  </si>
  <si>
    <t>OSC32M_WADDR_1</t>
  </si>
  <si>
    <t>OSC32M_Byte_4</t>
  </si>
  <si>
    <t>osc32m_inst_HRC_OK_MUX[0x1]</t>
  </si>
  <si>
    <t>OSC32M_Byte_5</t>
  </si>
  <si>
    <t>osc32m_div_half_period</t>
  </si>
  <si>
    <t>OSC32M_Byte_6</t>
  </si>
  <si>
    <t>osc32m_inst_HRC_OK_LV</t>
  </si>
  <si>
    <t>OSC32M_Byte_7</t>
  </si>
  <si>
    <t>osc32m_inst_EN</t>
  </si>
  <si>
    <t>OSC32K_WADDR</t>
  </si>
  <si>
    <t>OSC32K_Byte_0</t>
  </si>
  <si>
    <t>osc32k_inst_P_FT[0x54]</t>
  </si>
  <si>
    <t>OSC32K_Byte_1</t>
  </si>
  <si>
    <t>osc32k_inst_S_FT[0x1C]</t>
  </si>
  <si>
    <t>OSC32K_Byte_2</t>
  </si>
  <si>
    <t>osc32k_inst_LI_EN</t>
  </si>
  <si>
    <t>OSC32K_Byte_3</t>
  </si>
  <si>
    <t>osc32k_inst_CLKREADY</t>
  </si>
  <si>
    <t>PLL_WADDR_0</t>
  </si>
  <si>
    <t>PLL_Byte_0</t>
  </si>
  <si>
    <t>pll_inst_reg1[0x1f]</t>
  </si>
  <si>
    <t>PLL_Byte_1</t>
  </si>
  <si>
    <t>pll_inst_reg2[0x1f]</t>
  </si>
  <si>
    <t>PLL_Byte_2</t>
  </si>
  <si>
    <t>pll_inst_fb_sel</t>
  </si>
  <si>
    <t>pll_inst_reg3[0x4]</t>
  </si>
  <si>
    <t>PLL_Byte_3</t>
  </si>
  <si>
    <t>pll_inst_reg4[0x4]</t>
  </si>
  <si>
    <t>PLL_WADDR_1</t>
  </si>
  <si>
    <t>PLL_Byte_4</t>
  </si>
  <si>
    <t>pll_inst_reg_ldo[0x3]</t>
  </si>
  <si>
    <t>PLL_Byte_5</t>
  </si>
  <si>
    <t>pll_inst_extclk_sel</t>
  </si>
  <si>
    <t>pll_inst_pfd_dly_tune</t>
  </si>
  <si>
    <t>pll_inst_icp_sel</t>
  </si>
  <si>
    <t>pll_inst_cap_sel[0x1]</t>
  </si>
  <si>
    <t>pll_inst_cp2_en[0x1]</t>
  </si>
  <si>
    <t>pll_inst_filt_byp</t>
  </si>
  <si>
    <t>PLL_Byte_6</t>
  </si>
  <si>
    <t>pll_inst_digsmode[0x1]</t>
  </si>
  <si>
    <t>pll_inst_ref_div[0x5]</t>
  </si>
  <si>
    <t>pll_inst_lock_sel</t>
  </si>
  <si>
    <t>pll_inst_clkout_div[0x1]</t>
  </si>
  <si>
    <t>PLL_Byte_7</t>
  </si>
  <si>
    <t>pll_inst_atb_sel</t>
  </si>
  <si>
    <t>pll_inst_fb_prediv</t>
  </si>
  <si>
    <t>pll_inst_test_en</t>
  </si>
  <si>
    <t>pll_inst_byp_en</t>
  </si>
  <si>
    <t>pll_inst_nrst[0x1]</t>
  </si>
  <si>
    <t>pll_inst_EN_PLL</t>
  </si>
  <si>
    <t>PLL_WADDR_2</t>
  </si>
  <si>
    <t>PLL_Byte_8</t>
  </si>
  <si>
    <t>pll_inst_kin_0</t>
  </si>
  <si>
    <t>PLL_Byte_9</t>
  </si>
  <si>
    <t>pll_inst_kin_1</t>
  </si>
  <si>
    <t>PLL_Byte_10</t>
  </si>
  <si>
    <t>pll_inst_kin_2</t>
  </si>
  <si>
    <t>PLL_Byte_11</t>
  </si>
  <si>
    <t>pll_inst_min</t>
  </si>
  <si>
    <t>PLL_WADDR_3</t>
  </si>
  <si>
    <t>PLL_Byte_12</t>
  </si>
  <si>
    <t>pll_inst_dkin_0</t>
  </si>
  <si>
    <t>PLL_Byte_13</t>
  </si>
  <si>
    <t>pll_inst_dkin_1</t>
  </si>
  <si>
    <t>PLL_Byte_14</t>
  </si>
  <si>
    <t>pll_inst_dkin_2</t>
  </si>
  <si>
    <t>PLL_Byte_15</t>
  </si>
  <si>
    <t>pll_inst_upcntin_0</t>
  </si>
  <si>
    <t>PLL_WADDR_4</t>
  </si>
  <si>
    <t>PLL_Byte_16</t>
  </si>
  <si>
    <t>pll_inst_upcntin_1</t>
  </si>
  <si>
    <t>PLL_Byte_17</t>
  </si>
  <si>
    <t>pll_div_half_period</t>
  </si>
  <si>
    <t>pll_inst_nrstds</t>
  </si>
  <si>
    <t>pll_inst_ssc_byp[0x1]</t>
  </si>
  <si>
    <t>pll_inst_ssc_nrst</t>
  </si>
  <si>
    <t>pll_inst_ssc_en</t>
  </si>
  <si>
    <t>PLL_Byte_18</t>
  </si>
  <si>
    <t>pll_inst_divn</t>
  </si>
  <si>
    <t>PLL_Byte_19</t>
  </si>
  <si>
    <t>pll_inst_pll_lock</t>
  </si>
  <si>
    <t>PMU_WADDR_0</t>
  </si>
  <si>
    <t>PMU_Byte_0</t>
  </si>
  <si>
    <t>pmu_inst_reg_lvd_eflash_lv</t>
  </si>
  <si>
    <t>pmu_inst_lvd_eflash_en_lv</t>
  </si>
  <si>
    <t>PMU_Byte_1</t>
  </si>
  <si>
    <t>pmu_inst_rstn_lvd_flash_lv</t>
  </si>
  <si>
    <t>PMU_Byte_2</t>
  </si>
  <si>
    <t>pmu_inst_reg_pvd_lv</t>
  </si>
  <si>
    <t>pmu_inst_pvd_en_lv</t>
  </si>
  <si>
    <t>PMU_Byte_3</t>
  </si>
  <si>
    <t>pmu_inst_rstn_pvd_lv</t>
  </si>
  <si>
    <t>PMU_WADDR_1</t>
  </si>
  <si>
    <t>PMU_Byte_4</t>
  </si>
  <si>
    <t>pmu_inst_reg_buffer_en_lv[0x1]</t>
  </si>
  <si>
    <t>pmu_inst_reg_ocp_en_lv</t>
  </si>
  <si>
    <t>pmu_inst_mldo_en_lv[0x1]</t>
  </si>
  <si>
    <t>PMU_Byte_5</t>
  </si>
  <si>
    <t>pmu_inst_reg_lpbgp_lv</t>
  </si>
  <si>
    <t>PMU_Byte_6</t>
  </si>
  <si>
    <t>pmu_inst_reg_lpldo_lv</t>
  </si>
  <si>
    <t>PMU_Byte_7</t>
  </si>
  <si>
    <t>pmu_inst_reg_mldo_lv</t>
  </si>
  <si>
    <t>PMU_WADDR_2</t>
  </si>
  <si>
    <t>PMU_Byte_8</t>
  </si>
  <si>
    <t>pmu_inst_V12AON_OK_LV</t>
  </si>
  <si>
    <t>pmu_inst_V12M_OK_LV</t>
  </si>
  <si>
    <t>PMU_Byte_9</t>
  </si>
  <si>
    <t>PMU_Byte_10</t>
  </si>
  <si>
    <t>PMU_Byte_11</t>
  </si>
  <si>
    <t>pmu_inst_test_en_lv</t>
  </si>
  <si>
    <t>pmu_inst_reg_test_lv</t>
  </si>
  <si>
    <t>PMU_WADDR_3</t>
  </si>
  <si>
    <t>PMU_Byte_12</t>
  </si>
  <si>
    <t>pmu_inst_reg_pmu_0</t>
  </si>
  <si>
    <t>PMU_Byte_13</t>
  </si>
  <si>
    <t>pmu_inst_reg_pmu_1</t>
  </si>
  <si>
    <t>PMU_Byte_14</t>
  </si>
  <si>
    <t>pmu_inst_reg_pmu_2</t>
  </si>
  <si>
    <t>PMU_Byte_15</t>
  </si>
  <si>
    <t>pmu_inst_reg_pmu_3</t>
  </si>
  <si>
    <t>CMP_WADDR</t>
  </si>
  <si>
    <t>CMP_Byte_0</t>
  </si>
  <si>
    <t>cmp_inst_LI_VC_INN_SEL[0x1]</t>
  </si>
  <si>
    <t>CMP_Byte_1</t>
  </si>
  <si>
    <t>cmp_inst_LI_VC_INP_SEL[0x1]</t>
  </si>
  <si>
    <t>CMP_Byte_2</t>
  </si>
  <si>
    <t>cmp_inst_LI_VC_HYS_SEL</t>
  </si>
  <si>
    <t>cmp_inst_LI_VC_BIAS_SEL</t>
  </si>
  <si>
    <t>CMP_Byte_3</t>
  </si>
  <si>
    <t>cmp_inst_LO_VC_OUT</t>
  </si>
  <si>
    <t>cmp_inst_LI_VC_EN</t>
  </si>
  <si>
    <t>PGA_WADDR_0</t>
  </si>
  <si>
    <t>PGA_Byte_0</t>
  </si>
  <si>
    <t>pga_inst_LI_PGA_BIAS_SEL[0x3]</t>
  </si>
  <si>
    <t>PGA_Byte_1</t>
  </si>
  <si>
    <t>pga_inst_LI_PGA_GAIN</t>
  </si>
  <si>
    <t>PGA_Byte_2</t>
  </si>
  <si>
    <t>pga_inst_LI_PGA_EN</t>
  </si>
  <si>
    <t>PGA_Byte_3</t>
  </si>
  <si>
    <t>pga_inst_LI_CAL_SEL</t>
  </si>
  <si>
    <t>pga_inst_LI_CAL_EN</t>
  </si>
  <si>
    <t>PGA_WADDR_1</t>
  </si>
  <si>
    <t>PGA_Byte_4</t>
  </si>
  <si>
    <t>pga_inst_LI_TRIM_OFFSETN</t>
  </si>
  <si>
    <t>PGA_Byte_5</t>
  </si>
  <si>
    <t>pga_inst_LI_TRIM_OFFSETP</t>
  </si>
  <si>
    <t>PGA_Byte_6</t>
  </si>
  <si>
    <t>pga_inst_LI_VCOM_SEL[0x3]</t>
  </si>
  <si>
    <t>pga_inst_LI_VCOM_TEST</t>
  </si>
  <si>
    <t>pga_inst_LI_VCOM_MUX</t>
  </si>
  <si>
    <t>pga_inst_LI_VCOM_EN</t>
  </si>
  <si>
    <t>PGA_Byte_7</t>
  </si>
  <si>
    <t>DAC_WADDR</t>
  </si>
  <si>
    <t>DAC_Byte_0</t>
  </si>
  <si>
    <t>dac_inst_LI_DIN_0</t>
  </si>
  <si>
    <t>DAC_Byte_1</t>
  </si>
  <si>
    <t>dac_inst_LI_DIN_1</t>
  </si>
  <si>
    <t>DAC_Byte_2</t>
  </si>
  <si>
    <t>dac_inst_LI_EN</t>
  </si>
  <si>
    <t>DAC_Byte_3</t>
  </si>
  <si>
    <t>dac_inst_LI_ENBUF[0x1]</t>
  </si>
  <si>
    <t>OSC48M_WADDR</t>
  </si>
  <si>
    <t>OSC48M_Byte_0</t>
  </si>
  <si>
    <t>osc48m_inst_LI_RC48M_FOTP_0[0x0E]</t>
  </si>
  <si>
    <t>OSC48M_Byte_1</t>
  </si>
  <si>
    <t>osc48m_inst_LI_RC48M_FOTP_1[0x1]</t>
  </si>
  <si>
    <t>OSC48M_Byte_2</t>
  </si>
  <si>
    <t>osc48m_inst_LI_RC48M_FSEL[0x3]</t>
  </si>
  <si>
    <t>osc48m_inst_LI_RC48M_TC[0x8]</t>
  </si>
  <si>
    <t>OSC48M_Byte_3</t>
  </si>
  <si>
    <t>osc48m_div_half_period</t>
  </si>
  <si>
    <t>osc48m_inst_LI_RC48M_EN</t>
  </si>
  <si>
    <t>TOP_CTRL_WADDR_0</t>
  </si>
  <si>
    <t>TOP_CTRL_Byte_0</t>
  </si>
  <si>
    <t>top_inst_top_mux</t>
  </si>
  <si>
    <t>TOP_CTRL_Byte_1</t>
  </si>
  <si>
    <t>top_inst_top_test_sel</t>
  </si>
  <si>
    <t>TOP_CTRL_Byte_2</t>
  </si>
  <si>
    <t>top_inst_top_poc_reg</t>
  </si>
  <si>
    <t>TOP_CTRL_Byte_3</t>
  </si>
  <si>
    <t>TOP_CTRL_WADDR_1</t>
  </si>
  <si>
    <t>TOP_CTRL_Byte_4</t>
  </si>
  <si>
    <t>top_inst_top_reg_0[0x1]</t>
  </si>
  <si>
    <t>TOP_CTRL_Byte_5</t>
  </si>
  <si>
    <t>top_inst_top_reg_1[0x22]</t>
  </si>
  <si>
    <t>TOP_CTRL_Byte_6</t>
  </si>
  <si>
    <t>top_inst_top_reg_2</t>
  </si>
  <si>
    <t>TOP_CTRL_Byte_7</t>
  </si>
  <si>
    <t>top_inst_top_reg_3</t>
  </si>
  <si>
    <t>TEST_MODE_CTRL_WADDR</t>
  </si>
  <si>
    <t>TEST_MODE_CTRL_Byte_0</t>
  </si>
  <si>
    <t>TEST_MODE_CTRL_Byte_1</t>
  </si>
  <si>
    <t>TEST_MODE_CTRL_Byte_2</t>
  </si>
  <si>
    <t>TEST_MODE_CTRL_Byte_3</t>
  </si>
  <si>
    <t>GPIO_IE_WADDR_0</t>
  </si>
  <si>
    <t>GPIO_IE_Byte_0</t>
  </si>
  <si>
    <t>gpio_ie_0[0xFF]</t>
  </si>
  <si>
    <t>GPIO_IE_Byte_1</t>
  </si>
  <si>
    <t>gpio_ie_1[0xFF]</t>
  </si>
  <si>
    <t>GPIO_IE_Byte_2</t>
  </si>
  <si>
    <t>gpio_ie_2[0xFF]</t>
  </si>
  <si>
    <t>GPIO_IE_Byte_3</t>
  </si>
  <si>
    <t>gpio_ie_3[0xFF]</t>
  </si>
  <si>
    <t>GPIO_IE_WADDR_1</t>
  </si>
  <si>
    <t>GPIO_IE_Byte_4</t>
  </si>
  <si>
    <t>gpio_ie_4[0xF]</t>
  </si>
  <si>
    <t>GPIO_IE_Byte_5</t>
  </si>
  <si>
    <t>GPIO_IE_Byte_6</t>
  </si>
  <si>
    <t>GPIO_IE_Byte_7</t>
  </si>
  <si>
    <t>GPIO_OE_WADDR_0</t>
  </si>
  <si>
    <t>GPIO_OE_Byte_0</t>
  </si>
  <si>
    <t>gpio_oe_0</t>
  </si>
  <si>
    <t>GPIO_OE_Byte_1</t>
  </si>
  <si>
    <t>gpio_oe_1</t>
  </si>
  <si>
    <t>GPIO_OE_Byte_2</t>
  </si>
  <si>
    <t>gpio_oe_2</t>
  </si>
  <si>
    <t>GPIO_OE_Byte_3</t>
  </si>
  <si>
    <t>gpio_oe_3</t>
  </si>
  <si>
    <t>GPIO_OE_WADDR_1</t>
  </si>
  <si>
    <t>GPIO_OE_Byte_4</t>
  </si>
  <si>
    <t>gpio_oe_4</t>
  </si>
  <si>
    <t>GPIO_OE_Byte_5</t>
  </si>
  <si>
    <t>GPIO_OE_Byte_6</t>
  </si>
  <si>
    <t>GPIO_OE_Byte_7</t>
  </si>
  <si>
    <t>GPIO_OUT_WADDR_0</t>
  </si>
  <si>
    <t>GPIO_OUT_Byte_0</t>
  </si>
  <si>
    <t>gpio_out_0</t>
  </si>
  <si>
    <t>GPIO_OUT_Byte_1</t>
  </si>
  <si>
    <t>gpio_out_1</t>
  </si>
  <si>
    <t>GPIO_OUT_Byte_2</t>
  </si>
  <si>
    <t>gpio_out_2</t>
  </si>
  <si>
    <t>GPIO_OUT_Byte_3</t>
  </si>
  <si>
    <t>gpio_out_3</t>
  </si>
  <si>
    <t>GPIO_OUT_WADDR_1</t>
  </si>
  <si>
    <t>GPIO_OUT_Byte_4</t>
  </si>
  <si>
    <t>gpio_out_4</t>
  </si>
  <si>
    <t>GPIO_OUT_Byte_5</t>
  </si>
  <si>
    <t>GPIO_OUT_Byte_6</t>
  </si>
  <si>
    <t>GPIO_OUT_Byte_7</t>
  </si>
  <si>
    <t>GPIO_IN_WADDR_0</t>
  </si>
  <si>
    <t>GPIO_IN_Byte_0</t>
  </si>
  <si>
    <t>gpio_in_0</t>
  </si>
  <si>
    <t>GPIO_IN_Byte_1</t>
  </si>
  <si>
    <t>gpio_in_1</t>
  </si>
  <si>
    <t>GPIO_IN_Byte_2</t>
  </si>
  <si>
    <t>gpio_in_2</t>
  </si>
  <si>
    <t>GPIO_IN_Byte_3</t>
  </si>
  <si>
    <t>gpio_in_3</t>
  </si>
  <si>
    <t>GPIO_IN_WADDR_1</t>
  </si>
  <si>
    <t>GPIO_IN_Byte_4</t>
  </si>
  <si>
    <t>gpio_in_4</t>
  </si>
  <si>
    <t>GPIO_IN_Byte_5</t>
  </si>
  <si>
    <t>GPIO_IN_Byte_6</t>
  </si>
  <si>
    <t>GPIO_IN_Byte_7</t>
  </si>
  <si>
    <t>GPIO_PS_WADDR_0</t>
  </si>
  <si>
    <t>GPIO_PS_Byte_0</t>
  </si>
  <si>
    <t>gpio_ps_0</t>
  </si>
  <si>
    <t>GPIO_PS_Byte_1</t>
  </si>
  <si>
    <t>gpio_ps_1[0x40]</t>
  </si>
  <si>
    <t>GPIO_PS_Byte_2</t>
  </si>
  <si>
    <t>gpio_ps_2</t>
  </si>
  <si>
    <t>GPIO_PS_Byte_3</t>
  </si>
  <si>
    <t>gpio_ps_3</t>
  </si>
  <si>
    <t>GPIO_PS_WADDR_1</t>
  </si>
  <si>
    <t>GPIO_PS_Byte_4</t>
  </si>
  <si>
    <t>gpio_ps_4</t>
  </si>
  <si>
    <t>GPIO_PS_Byte_5</t>
  </si>
  <si>
    <t>GPIO_PS_Byte_6</t>
  </si>
  <si>
    <t>GPIO_PS_Byte_7</t>
  </si>
  <si>
    <t>GPIO_PE_WADDR_0</t>
  </si>
  <si>
    <t>GPIO_PE_Byte_0</t>
  </si>
  <si>
    <t>gpio_pe_0</t>
  </si>
  <si>
    <t>GPIO_PE_Byte_1</t>
  </si>
  <si>
    <t>gpio_pe_1[0x40]</t>
  </si>
  <si>
    <t>GPIO_PE_Byte_2</t>
  </si>
  <si>
    <t>gpio_pe_2[0x2]</t>
  </si>
  <si>
    <t>GPIO_PE_Byte_3</t>
  </si>
  <si>
    <t>gpio_pe_3</t>
  </si>
  <si>
    <t>GPIO_PE_WADDR_1</t>
  </si>
  <si>
    <t>GPIO_PE_Byte_4</t>
  </si>
  <si>
    <t>gpio_pe_4</t>
  </si>
  <si>
    <t>GPIO_PE_Byte_5</t>
  </si>
  <si>
    <t>GPIO_PE_Byte_6</t>
  </si>
  <si>
    <t>GPIO_PE_Byte_7</t>
  </si>
  <si>
    <t>GPIO_IS_WADDR_0</t>
  </si>
  <si>
    <t>GPIO_IS_Byte_0</t>
  </si>
  <si>
    <t>gpio_is_0</t>
  </si>
  <si>
    <t>GPIO_IS_Byte_1</t>
  </si>
  <si>
    <t>gpio_is_1</t>
  </si>
  <si>
    <t>GPIO_IS_Byte_2</t>
  </si>
  <si>
    <t>gpio_is_2</t>
  </si>
  <si>
    <t>GPIO_IS_Byte_3</t>
  </si>
  <si>
    <t>gpio_is_3</t>
  </si>
  <si>
    <t>GPIO_IS_WADDR_1</t>
  </si>
  <si>
    <t>GPIO_IS_Byte_4</t>
  </si>
  <si>
    <t>gpio_is_4</t>
  </si>
  <si>
    <t>GPIO_IS_Byte_5</t>
  </si>
  <si>
    <t>GPIO_IS_Byte_6</t>
  </si>
  <si>
    <t>GPIO_IS_Byte_7</t>
  </si>
  <si>
    <t>GPIO_DR_WADDR_0</t>
  </si>
  <si>
    <t>GPIO_DR_Byte_0</t>
  </si>
  <si>
    <t>gpio_dr_0[0x55]</t>
  </si>
  <si>
    <t>GPIO_DR_Byte_1</t>
  </si>
  <si>
    <t>gpio_dr_1[0x55]</t>
  </si>
  <si>
    <t>GPIO_DR_Byte_2</t>
  </si>
  <si>
    <t>gpio_dr_2[0x55]</t>
  </si>
  <si>
    <t>GPIO_DR_Byte_3</t>
  </si>
  <si>
    <t>gpio_dr_3[0x55]</t>
  </si>
  <si>
    <t>GPIO_DR_WADDR_1</t>
  </si>
  <si>
    <t>GPIO_DR_Byte_4</t>
  </si>
  <si>
    <t>gpio_dr_4[0x55]</t>
  </si>
  <si>
    <t>GPIO_DR_Byte_5</t>
  </si>
  <si>
    <t>gpio_dr_5[0x55]</t>
  </si>
  <si>
    <t>GPIO_DR_Byte_6</t>
  </si>
  <si>
    <t>gpio_dr_6[0x55]</t>
  </si>
  <si>
    <t>GPIO_DR_Byte_7</t>
  </si>
  <si>
    <t>gpio_dr_7[0x55]</t>
  </si>
  <si>
    <t>GPIO_DR_WADDR_2</t>
  </si>
  <si>
    <t>GPIO_DR_Byte_8</t>
  </si>
  <si>
    <t>gpio_dr_8[0x55]</t>
  </si>
  <si>
    <t>GPIO_DR_Byte_9</t>
  </si>
  <si>
    <t>GPIO_DR_Byte_10</t>
  </si>
  <si>
    <t>GPIO_DR_Byte_11</t>
  </si>
  <si>
    <t>PAD_RING_WADDR_0</t>
  </si>
  <si>
    <t>PAD_RING_Byte_0</t>
  </si>
  <si>
    <t>pad_ring_inst_REG_XTAL32K[0x34]</t>
  </si>
  <si>
    <t>PAD_RING_Byte_1</t>
  </si>
  <si>
    <t>pad_ring_inst_XTAL32K_BYP</t>
  </si>
  <si>
    <t>pad_ring_inst_XTAL32K_EN</t>
  </si>
  <si>
    <t>PAD_RING_Byte_2</t>
  </si>
  <si>
    <t>pad_ring_inst_REG_XTALMF[0x2A]</t>
  </si>
  <si>
    <t>PAD_RING_Byte_3</t>
  </si>
  <si>
    <t>pad_ring_inst_XTAL_BYP</t>
  </si>
  <si>
    <t>pad_ring_inst_XTAL_EN</t>
  </si>
  <si>
    <t>PAD_RING_WADDR_1</t>
  </si>
  <si>
    <t>PAD_RING_Byte_4</t>
  </si>
  <si>
    <t>pad_ring_inst_ext_rstn_en_c</t>
  </si>
  <si>
    <t>pad_ring_inst_ext_rstn_c</t>
  </si>
  <si>
    <t>pad_ring_inst_ext_ldo_en_c</t>
  </si>
  <si>
    <t>PAD_RING_Byte_5</t>
  </si>
  <si>
    <t>spi_port_enable[0x1]</t>
  </si>
  <si>
    <t>PAD_RING_Byte_6</t>
  </si>
  <si>
    <t>PAD_RING_Byte_7</t>
  </si>
  <si>
    <t>TEST_SEL_WADDR_0</t>
  </si>
  <si>
    <t>TEST_SEL_Byte_0</t>
  </si>
  <si>
    <t>test_sel_dac_inst</t>
  </si>
  <si>
    <t>test_sel_pga_inst</t>
  </si>
  <si>
    <t>test_sel_cmp_inst</t>
  </si>
  <si>
    <t>test_sel_pll_inst</t>
  </si>
  <si>
    <t>test_sel_adc_inst_grp_2</t>
  </si>
  <si>
    <t>test_sel_adc_inst_grp_1</t>
  </si>
  <si>
    <t>TEST_SEL_Byte_1</t>
  </si>
  <si>
    <t>test_sel_top_inst</t>
  </si>
  <si>
    <t>test_sel_pmu_inst_grp_4</t>
  </si>
  <si>
    <t>test_sel_pmu_inst_grp_3</t>
  </si>
  <si>
    <t>test_sel_pmu_inst_grp_2</t>
  </si>
  <si>
    <t>test_sel_pmu_inst_grp_1</t>
  </si>
  <si>
    <t>test_sel_osc32k_inst</t>
  </si>
  <si>
    <t>test_sel_osc48m_inst</t>
  </si>
  <si>
    <t>test_sel_osc32m_inst</t>
  </si>
  <si>
    <t>TEST_SEL_Byte_2</t>
  </si>
  <si>
    <t>test_sel_ulppmu_inst</t>
  </si>
  <si>
    <t>test_sel_cvr_inst</t>
  </si>
  <si>
    <t>test_sel_pad_ring_inst</t>
  </si>
  <si>
    <t>TEST_SEL_Byte_3</t>
  </si>
  <si>
    <t>PAD_FUNC_SEL_WADDR_0</t>
  </si>
  <si>
    <t>PAD_FUNC_SEL_Byte_0</t>
  </si>
  <si>
    <t>pad_P0_func_sel</t>
  </si>
  <si>
    <t>PAD_FUNC_SEL_Byte_1</t>
  </si>
  <si>
    <t>pad_P1_func_sel</t>
  </si>
  <si>
    <t>PAD_FUNC_SEL_Byte_2</t>
  </si>
  <si>
    <t>pad_P2_func_sel</t>
  </si>
  <si>
    <t>PAD_FUNC_SEL_Byte_3</t>
  </si>
  <si>
    <t>pad_P3_func_sel</t>
  </si>
  <si>
    <t>PAD_FUNC_SEL_WADDR_1</t>
  </si>
  <si>
    <t>PAD_FUNC_SEL_Byte_4</t>
  </si>
  <si>
    <t>pad_P4_func_sel</t>
  </si>
  <si>
    <t>PAD_FUNC_SEL_Byte_5</t>
  </si>
  <si>
    <t>pad_P5_func_sel</t>
  </si>
  <si>
    <t>PAD_FUNC_SEL_Byte_6</t>
  </si>
  <si>
    <t>pad_P6_func_sel</t>
  </si>
  <si>
    <t>PAD_FUNC_SEL_Byte_7</t>
  </si>
  <si>
    <t>pad_P7_func_sel</t>
  </si>
  <si>
    <t>PAD_FUNC_SEL_WADDR_2</t>
  </si>
  <si>
    <t>PAD_FUNC_SEL_Byte_8</t>
  </si>
  <si>
    <t>pad_P8_func_sel</t>
  </si>
  <si>
    <t>PAD_FUNC_SEL_Byte_9</t>
  </si>
  <si>
    <t>pad_P9_func_sel</t>
  </si>
  <si>
    <t>PAD_FUNC_SEL_Byte_10</t>
  </si>
  <si>
    <t>pad_P10_func_sel</t>
  </si>
  <si>
    <t>PAD_FUNC_SEL_Byte_11</t>
  </si>
  <si>
    <t>pad_P11_func_sel</t>
  </si>
  <si>
    <t>PAD_FUNC_SEL_WADDR_3</t>
  </si>
  <si>
    <t>PAD_FUNC_SEL_Byte_12</t>
  </si>
  <si>
    <t>pad_P12_func_sel</t>
  </si>
  <si>
    <t>PAD_FUNC_SEL_Byte_13</t>
  </si>
  <si>
    <t>pad_P13_func_sel</t>
  </si>
  <si>
    <t>PAD_FUNC_SEL_Byte_14</t>
  </si>
  <si>
    <t>pad_P14_func_sel</t>
  </si>
  <si>
    <t>PAD_FUNC_SEL_Byte_15</t>
  </si>
  <si>
    <t>pad_P15_func_sel</t>
  </si>
  <si>
    <t>PAD_FUNC_SEL_WADDR_4</t>
  </si>
  <si>
    <t>PAD_FUNC_SEL_Byte_16</t>
  </si>
  <si>
    <t>pad_P16_func_sel</t>
  </si>
  <si>
    <t>PAD_FUNC_SEL_Byte_17</t>
  </si>
  <si>
    <t>pad_P17_func_sel</t>
  </si>
  <si>
    <t>PAD_FUNC_SEL_Byte_18</t>
  </si>
  <si>
    <t>pad_P18_func_sel</t>
  </si>
  <si>
    <t>PAD_FUNC_SEL_Byte_19</t>
  </si>
  <si>
    <t>pad_P19_func_sel</t>
  </si>
  <si>
    <t>PAD_FUNC_SEL_WADDR_5</t>
  </si>
  <si>
    <t>PAD_FUNC_SEL_Byte_20</t>
  </si>
  <si>
    <t>pad_P20_func_sel</t>
  </si>
  <si>
    <t>PAD_FUNC_SEL_Byte_21</t>
  </si>
  <si>
    <t>pad_P21_func_sel</t>
  </si>
  <si>
    <t>PAD_FUNC_SEL_Byte_22</t>
  </si>
  <si>
    <t>pad_P22_func_sel</t>
  </si>
  <si>
    <t>PAD_FUNC_SEL_Byte_23</t>
  </si>
  <si>
    <t>pad_P23_func_sel</t>
  </si>
  <si>
    <t>PAD_FUNC_SEL_WADDR_6</t>
  </si>
  <si>
    <t>PAD_FUNC_SEL_Byte_24</t>
  </si>
  <si>
    <t>pad_P24_func_sel</t>
  </si>
  <si>
    <t>PAD_FUNC_SEL_Byte_25</t>
  </si>
  <si>
    <t>pad_P25_func_sel</t>
  </si>
  <si>
    <t>PAD_FUNC_SEL_Byte_26</t>
  </si>
  <si>
    <t>pad_P26_func_sel</t>
  </si>
  <si>
    <t>PAD_FUNC_SEL_Byte_27</t>
  </si>
  <si>
    <t>pad_P27_func_sel</t>
  </si>
  <si>
    <t>PAD_FUNC_SEL_WADDR_7</t>
  </si>
  <si>
    <t>PAD_FUNC_SEL_Byte_28</t>
  </si>
  <si>
    <t>pad_P28_func_sel</t>
  </si>
  <si>
    <t>PAD_FUNC_SEL_Byte_29</t>
  </si>
  <si>
    <t>pad_P29_func_sel</t>
  </si>
  <si>
    <t>PAD_FUNC_SEL_Byte_30</t>
  </si>
  <si>
    <t>pad_P30_func_sel</t>
  </si>
  <si>
    <t>PAD_FUNC_SEL_Byte_31</t>
  </si>
  <si>
    <t>pad_P31_func_sel</t>
  </si>
  <si>
    <t>PAD_FUNC_SEL_WADDR_8</t>
  </si>
  <si>
    <t>PAD_FUNC_SEL_Byte_32</t>
  </si>
  <si>
    <t>pad_P32_func_sel</t>
  </si>
  <si>
    <t>PAD_FUNC_SEL_Byte_33</t>
  </si>
  <si>
    <t>pad_P33_func_sel</t>
  </si>
  <si>
    <t>PAD_FUNC_SEL_Byte_34</t>
  </si>
  <si>
    <t>pad_P34_func_sel</t>
  </si>
  <si>
    <t>PAD_FUNC_SEL_Byte_35</t>
  </si>
  <si>
    <t>pad_P35_func_sel</t>
  </si>
  <si>
    <t>extra_clk_cfg_WADDR_0</t>
  </si>
  <si>
    <t>pmu_chop_Byte_0</t>
  </si>
  <si>
    <t>pmu_chop_half_period</t>
  </si>
  <si>
    <t>pmu_chop_Byte_1</t>
  </si>
  <si>
    <t>pmu_chop_clk_sel</t>
  </si>
  <si>
    <t>pmu_chop_en</t>
  </si>
  <si>
    <t>PLL_clk_sel_byte_0</t>
  </si>
  <si>
    <t>pll_clk_ext_sel</t>
  </si>
  <si>
    <t>pll_clk_soc_sel</t>
  </si>
  <si>
    <t>PLL_clk_sel_byte_1</t>
  </si>
  <si>
    <t>extra_clk_cfg_WADDR_1</t>
  </si>
  <si>
    <t>adc_clk_sel_byte_0</t>
  </si>
  <si>
    <t>adc_clk_half_period</t>
  </si>
  <si>
    <t>adc_clk_sel_byte_1</t>
  </si>
  <si>
    <t>adc_clk_sel</t>
  </si>
  <si>
    <t>adc_clk_en</t>
  </si>
  <si>
    <t>adc_clk_sel_byte_2</t>
  </si>
  <si>
    <t>adc_clk_sel_byte_3</t>
  </si>
  <si>
    <t>cvr_WADDR</t>
  </si>
  <si>
    <t>cvr_byte_0</t>
  </si>
  <si>
    <t>cvr_inst_CVRREG</t>
  </si>
  <si>
    <t>cvr_byte_1</t>
  </si>
  <si>
    <t>cvr_inst_CVRSEL</t>
  </si>
  <si>
    <t>cvr_byte_2</t>
  </si>
  <si>
    <t>cvr_inst_CVREN</t>
  </si>
  <si>
    <t>cvr_byte_3</t>
  </si>
  <si>
    <t>ulppmu_WADDR</t>
  </si>
  <si>
    <t>ulppmu_byte_0</t>
  </si>
  <si>
    <t>ulppmu_inst_L_LPM</t>
  </si>
  <si>
    <t>ulppmu_inst_L_INIB</t>
  </si>
  <si>
    <t>ulppmu_byte_1</t>
  </si>
  <si>
    <t>ulppmu_inst_L_VR[0x4]</t>
  </si>
  <si>
    <t>ulppmu_byte_2</t>
  </si>
  <si>
    <t>ulppmu_inst_L_VT[0x20]</t>
  </si>
  <si>
    <t>ulppmu_byte_3</t>
  </si>
  <si>
    <t>ulppmu_inst_rstn_por_lv</t>
  </si>
  <si>
    <t>Pin number</t>
  </si>
  <si>
    <t>Net name</t>
  </si>
  <si>
    <t>P0</t>
  </si>
  <si>
    <t>P1</t>
  </si>
  <si>
    <t>P2</t>
  </si>
  <si>
    <t>P3</t>
  </si>
  <si>
    <t>P4</t>
  </si>
  <si>
    <t>P5</t>
  </si>
  <si>
    <t>VCCA1</t>
  </si>
  <si>
    <t>P6</t>
  </si>
  <si>
    <t>P7</t>
  </si>
  <si>
    <t>P8</t>
  </si>
  <si>
    <t>P9</t>
  </si>
  <si>
    <t>P10</t>
  </si>
  <si>
    <t>P11</t>
  </si>
  <si>
    <t>P12</t>
  </si>
  <si>
    <t>P13</t>
  </si>
  <si>
    <t>VREFN_ADC</t>
  </si>
  <si>
    <t>VREFP_ADC</t>
  </si>
  <si>
    <t>VCCA3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</si>
  <si>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</si>
  <si>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</si>
  <si>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</si>
  <si>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</si>
  <si>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</si>
  <si>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</si>
  <si>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</si>
  <si>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</si>
  <si>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</si>
  <si>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</si>
  <si>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</si>
  <si>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</si>
  <si>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</si>
  <si>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</si>
  <si>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</si>
  <si>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</si>
  <si>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</si>
  <si>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</si>
  <si>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EXT_RSTN/POR_NRST_OUT</t>
  </si>
  <si>
    <t>EXT_RSTN_EN</t>
  </si>
  <si>
    <t>P32</t>
  </si>
  <si>
    <t>P33</t>
  </si>
  <si>
    <t>EXT_LDO_EN</t>
  </si>
  <si>
    <t>P34</t>
  </si>
  <si>
    <t>P35</t>
  </si>
  <si>
    <t>VCCA2</t>
  </si>
  <si>
    <t>VCCA</t>
  </si>
  <si>
    <t>E-pad</t>
  </si>
  <si>
    <t>PMU测试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</si>
</sst>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b/>
      <sz val="7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FFC000"/>
      <name val="等线"/>
      <charset val="134"/>
      <scheme val="minor"/>
    </font>
    <font>
      <sz val="12"/>
      <color rgb="FF00B050"/>
      <name val="等线"/>
      <charset val="134"/>
      <scheme val="minor"/>
    </font>
    <font>
      <sz val="12"/>
      <color theme="9" tint="-0.249977111117893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theme="7"/>
      <name val="等线"/>
      <charset val="134"/>
      <scheme val="minor"/>
    </font>
    <font>
      <sz val="12"/>
      <color rgb="FF92D05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sz val="11"/>
      <color theme="9" tint="-0.249977111117893"/>
      <name val="等线"/>
      <charset val="134"/>
      <scheme val="minor"/>
    </font>
    <font>
      <sz val="11"/>
      <color rgb="FFFFC000"/>
      <name val="等线"/>
      <charset val="134"/>
      <scheme val="minor"/>
    </font>
    <font>
      <b/>
      <sz val="9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color rgb="FF000000"/>
      <name val="等线"/>
      <charset val="0"/>
      <scheme val="minor"/>
    </font>
    <font>
      <sz val="1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ED43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3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36" applyNumberFormat="0" applyAlignment="0" applyProtection="0">
      <alignment vertical="center"/>
    </xf>
    <xf numFmtId="0" fontId="23" fillId="14" borderId="37" applyNumberFormat="0" applyAlignment="0" applyProtection="0">
      <alignment vertical="center"/>
    </xf>
    <xf numFmtId="0" fontId="24" fillId="14" borderId="36" applyNumberFormat="0" applyAlignment="0" applyProtection="0">
      <alignment vertical="center"/>
    </xf>
    <xf numFmtId="0" fontId="25" fillId="15" borderId="38" applyNumberFormat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/>
    <xf numFmtId="0" fontId="2" fillId="0" borderId="16" xfId="0" applyFont="1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4" xfId="0" applyFill="1" applyBorder="1"/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/>
    <xf numFmtId="0" fontId="0" fillId="3" borderId="28" xfId="0" applyFill="1" applyBorder="1"/>
    <xf numFmtId="0" fontId="0" fillId="3" borderId="2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/>
    <xf numFmtId="0" fontId="0" fillId="3" borderId="0" xfId="0" applyFill="1"/>
    <xf numFmtId="0" fontId="0" fillId="3" borderId="31" xfId="0" applyFill="1" applyBorder="1"/>
    <xf numFmtId="0" fontId="0" fillId="3" borderId="14" xfId="0" applyFill="1" applyBorder="1"/>
    <xf numFmtId="0" fontId="0" fillId="3" borderId="25" xfId="0" applyFill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4" xfId="0" applyFill="1" applyBorder="1" applyAlignment="1"/>
    <xf numFmtId="0" fontId="0" fillId="3" borderId="23" xfId="0" applyFill="1" applyBorder="1"/>
    <xf numFmtId="0" fontId="0" fillId="3" borderId="25" xfId="0" applyFill="1" applyBorder="1"/>
    <xf numFmtId="0" fontId="0" fillId="3" borderId="14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32" xfId="0" applyFill="1" applyBorder="1" applyAlignment="1">
      <alignment horizontal="center" vertical="center"/>
    </xf>
    <xf numFmtId="0" fontId="5" fillId="3" borderId="4" xfId="0" applyFont="1" applyFill="1" applyBorder="1"/>
    <xf numFmtId="0" fontId="5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/>
    <xf numFmtId="0" fontId="5" fillId="0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5" fillId="0" borderId="4" xfId="0" applyFont="1" applyFill="1" applyBorder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4" xfId="0" applyBorder="1"/>
    <xf numFmtId="0" fontId="5" fillId="7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7" fillId="0" borderId="25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5" fillId="3" borderId="4" xfId="0" applyFont="1" applyFill="1" applyBorder="1" applyAlignment="1" quotePrefix="1">
      <alignment horizontal="center" vertical="center" wrapText="1"/>
    </xf>
    <xf numFmtId="0" fontId="5" fillId="0" borderId="4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D16"/>
  <sheetViews>
    <sheetView workbookViewId="0">
      <selection activeCell="D10" sqref="D10"/>
    </sheetView>
  </sheetViews>
  <sheetFormatPr defaultColWidth="9" defaultRowHeight="14.25" outlineLevelCol="3"/>
  <cols>
    <col min="2" max="2" width="34.775" style="127" customWidth="1"/>
    <col min="3" max="3" width="20.3333333333333" style="127" customWidth="1"/>
    <col min="4" max="4" width="47.2166666666667" style="127" customWidth="1"/>
  </cols>
  <sheetData>
    <row r="2" spans="2:4">
      <c r="B2" s="128" t="s">
        <v>0</v>
      </c>
      <c r="C2" s="128" t="s">
        <v>1</v>
      </c>
      <c r="D2" s="128" t="s">
        <v>2</v>
      </c>
    </row>
    <row r="3" ht="114" spans="2:4">
      <c r="B3" s="129" t="s">
        <v>3</v>
      </c>
      <c r="C3" s="128"/>
      <c r="D3" s="128"/>
    </row>
    <row r="7" spans="2:4">
      <c r="B7" s="128" t="s">
        <v>4</v>
      </c>
      <c r="C7" s="128" t="s">
        <v>5</v>
      </c>
      <c r="D7" s="128" t="s">
        <v>6</v>
      </c>
    </row>
    <row r="8" ht="57" spans="2:4">
      <c r="B8" s="128">
        <v>20251114</v>
      </c>
      <c r="C8" s="128" t="s">
        <v>7</v>
      </c>
      <c r="D8" s="129" t="s">
        <v>8</v>
      </c>
    </row>
    <row r="9" ht="57" spans="2:4">
      <c r="B9" s="128">
        <v>20251209</v>
      </c>
      <c r="C9" s="128" t="s">
        <v>9</v>
      </c>
      <c r="D9" s="129" t="s">
        <v>10</v>
      </c>
    </row>
    <row r="10" spans="2:4">
      <c r="B10" s="128"/>
      <c r="C10" s="128"/>
      <c r="D10" s="128"/>
    </row>
    <row r="11" spans="2:4">
      <c r="B11" s="128"/>
      <c r="C11" s="128"/>
      <c r="D11" s="128"/>
    </row>
    <row r="12" spans="2:4">
      <c r="B12" s="128"/>
      <c r="C12" s="128"/>
      <c r="D12" s="128"/>
    </row>
    <row r="13" spans="2:4">
      <c r="B13" s="128"/>
      <c r="C13" s="128"/>
      <c r="D13" s="128"/>
    </row>
    <row r="14" spans="2:4">
      <c r="B14" s="128"/>
      <c r="C14" s="128"/>
      <c r="D14" s="128"/>
    </row>
    <row r="15" spans="2:4">
      <c r="B15" s="128"/>
      <c r="C15" s="128"/>
      <c r="D15" s="128"/>
    </row>
    <row r="16" spans="2:4">
      <c r="B16" s="128"/>
      <c r="C16" s="128"/>
      <c r="D16" s="128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C19"/>
  <sheetViews>
    <sheetView workbookViewId="0">
      <selection activeCell="D36" sqref="D36"/>
    </sheetView>
  </sheetViews>
  <sheetFormatPr defaultColWidth="9" defaultRowHeight="14.25" outlineLevelCol="2"/>
  <cols>
    <col min="2" max="2" width="11.4416666666667" customWidth="1"/>
    <col min="3" max="3" width="10.775" customWidth="1"/>
  </cols>
  <sheetData>
    <row r="2" spans="2:3">
      <c r="B2" s="9" t="s">
        <v>11</v>
      </c>
      <c r="C2" s="9"/>
    </row>
    <row r="3" spans="2:3">
      <c r="B3" s="124">
        <v>5500</v>
      </c>
      <c r="C3" s="125">
        <v>9000</v>
      </c>
    </row>
    <row r="4" spans="2:3">
      <c r="B4" s="9" t="s">
        <v>12</v>
      </c>
      <c r="C4" s="9" t="s">
        <v>12</v>
      </c>
    </row>
    <row r="5" spans="2:3">
      <c r="B5" s="9" t="s">
        <v>13</v>
      </c>
      <c r="C5" s="9"/>
    </row>
    <row r="6" spans="2:3">
      <c r="B6" s="9" t="s">
        <v>14</v>
      </c>
      <c r="C6" s="9"/>
    </row>
    <row r="7" spans="2:3">
      <c r="B7" s="9" t="s">
        <v>15</v>
      </c>
      <c r="C7" s="9" t="s">
        <v>16</v>
      </c>
    </row>
    <row r="8" spans="2:3">
      <c r="B8" s="9" t="s">
        <v>17</v>
      </c>
      <c r="C8" s="9" t="s">
        <v>17</v>
      </c>
    </row>
    <row r="9" spans="2:3">
      <c r="B9" s="9" t="s">
        <v>18</v>
      </c>
      <c r="C9" s="9" t="s">
        <v>18</v>
      </c>
    </row>
    <row r="10" spans="2:3">
      <c r="B10" s="9" t="s">
        <v>19</v>
      </c>
      <c r="C10" s="9"/>
    </row>
    <row r="11" spans="2:3">
      <c r="B11" s="9" t="s">
        <v>20</v>
      </c>
      <c r="C11" s="9" t="s">
        <v>20</v>
      </c>
    </row>
    <row r="12" spans="2:3">
      <c r="B12" s="9" t="s">
        <v>21</v>
      </c>
      <c r="C12" s="9"/>
    </row>
    <row r="13" spans="2:3">
      <c r="B13" s="9" t="s">
        <v>22</v>
      </c>
      <c r="C13" s="9" t="s">
        <v>22</v>
      </c>
    </row>
    <row r="14" spans="2:3">
      <c r="B14" s="9" t="s">
        <v>23</v>
      </c>
      <c r="C14" s="9" t="s">
        <v>23</v>
      </c>
    </row>
    <row r="15" spans="2:3">
      <c r="B15" s="9" t="s">
        <v>24</v>
      </c>
      <c r="C15" s="9"/>
    </row>
    <row r="16" spans="2:3">
      <c r="B16" s="9" t="s">
        <v>25</v>
      </c>
      <c r="C16" s="9" t="s">
        <v>25</v>
      </c>
    </row>
    <row r="17" spans="2:3">
      <c r="B17" s="9" t="s">
        <v>26</v>
      </c>
      <c r="C17" s="9" t="s">
        <v>26</v>
      </c>
    </row>
    <row r="18" spans="2:3">
      <c r="C18" s="126" t="s">
        <v>27</v>
      </c>
    </row>
    <row r="19" spans="2:3">
      <c r="C19" s="126" t="s">
        <v>28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2:C2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T256"/>
  <sheetViews>
    <sheetView tabSelected="1" zoomScale="85" zoomScaleNormal="85" topLeftCell="J1" workbookViewId="0">
      <pane ySplit="1" topLeftCell="A130" activePane="bottomLeft" state="frozen"/>
      <selection/>
      <selection pane="bottomLeft" activeCell="R137" sqref="R137"/>
    </sheetView>
  </sheetViews>
  <sheetFormatPr defaultColWidth="9" defaultRowHeight="15.75"/>
  <cols>
    <col min="1" max="1" width="27.3333333333333" style="72" hidden="1" customWidth="1"/>
    <col min="2" max="2" width="36.4416666666667" style="72" customWidth="1"/>
    <col min="3" max="3" width="32.2166666666667" style="73" hidden="1" customWidth="1"/>
    <col min="4" max="4" width="26.1083333333333" style="73" customWidth="1"/>
    <col min="5" max="5" width="6.775" style="71" hidden="1" customWidth="1"/>
    <col min="6" max="6" width="25.1083333333333" style="74" customWidth="1"/>
    <col min="7" max="7" width="20" style="72" hidden="1" customWidth="1"/>
    <col min="8" max="9" width="43.3333333333333" style="75" hidden="1" customWidth="1"/>
    <col min="10" max="10" width="13.4416666666667" style="72" hidden="1" customWidth="1"/>
    <col min="11" max="11" width="13.8833333333333" style="72" hidden="1" customWidth="1"/>
    <col min="12" max="12" width="9" style="72" hidden="1" customWidth="1"/>
    <col min="13" max="13" width="38.2166666666667" style="75" hidden="1" customWidth="1"/>
    <col min="14" max="14" width="13.4416666666667" style="72" hidden="1" customWidth="1"/>
    <col min="15" max="15" width="67" style="72" hidden="1" customWidth="1"/>
    <col min="16" max="16" width="9" style="76" hidden="1" customWidth="1"/>
    <col min="17" max="17" width="78.775" style="72" customWidth="1"/>
    <col min="18" max="18" width="17.8833333333333" style="73" customWidth="1"/>
    <col min="19" max="19" width="26.1083333333333" style="73" customWidth="1"/>
    <col min="20" max="20" width="20" style="72" hidden="1" customWidth="1"/>
    <col min="21" max="16384" width="9" style="72"/>
  </cols>
  <sheetData>
    <row r="1" spans="1:20">
      <c r="A1" s="72" t="s">
        <v>29</v>
      </c>
      <c r="B1" s="77" t="s">
        <v>30</v>
      </c>
      <c r="C1" s="77" t="s">
        <v>31</v>
      </c>
      <c r="D1" s="77" t="s">
        <v>32</v>
      </c>
      <c r="E1" s="78" t="s">
        <v>33</v>
      </c>
      <c r="F1" s="79" t="s">
        <v>34</v>
      </c>
      <c r="G1" s="77" t="s">
        <v>35</v>
      </c>
      <c r="H1" s="77" t="s">
        <v>36</v>
      </c>
      <c r="I1" s="77" t="s">
        <v>37</v>
      </c>
      <c r="J1" s="80" t="s">
        <v>38</v>
      </c>
      <c r="K1" s="80" t="s">
        <v>39</v>
      </c>
      <c r="L1" s="80" t="s">
        <v>40</v>
      </c>
      <c r="M1" s="81" t="s">
        <v>41</v>
      </c>
      <c r="N1" s="80" t="s">
        <v>42</v>
      </c>
      <c r="O1" s="80" t="s">
        <v>43</v>
      </c>
      <c r="P1" s="82" t="s">
        <v>44</v>
      </c>
      <c r="Q1" s="77" t="s">
        <v>45</v>
      </c>
      <c r="R1" s="83" t="s">
        <v>46</v>
      </c>
      <c r="S1" s="83" t="s">
        <v>47</v>
      </c>
      <c r="T1" s="77" t="s">
        <v>48</v>
      </c>
    </row>
    <row r="2" s="71" customFormat="1" hidden="1" spans="1:20">
      <c r="A2" s="71" t="s">
        <v>49</v>
      </c>
      <c r="B2" s="84" t="s">
        <v>49</v>
      </c>
      <c r="C2" s="78" t="s">
        <v>50</v>
      </c>
      <c r="D2" s="78" t="s">
        <v>51</v>
      </c>
      <c r="E2" s="78">
        <f t="shared" ref="E2:E33" si="0">IF(AND(ISNUMBER(FIND("[",D2)),ISNUMBER(FIND("]",D2)),ISNUMBER(FIND(":",D2))),MID(D2,FIND("[",D2)+1,FIND(":",D2)-FIND("[",D2)-1)+1-MID(D2,FIND(":",D2)+1,FIND("]",D2)-FIND(":",D2)-1),IF(OR(ISNUMBER(FIND("[",D2)),ISNUMBER(FIND("]",D2)),ISNUMBER(FIND(":",D2))),"ERROR",1))</f>
        <v>1</v>
      </c>
      <c r="F2" s="85" t="s">
        <v>52</v>
      </c>
      <c r="G2" s="78"/>
      <c r="H2" s="78"/>
      <c r="I2" s="86"/>
      <c r="Q2" s="86"/>
      <c r="R2" s="78"/>
      <c r="S2" s="78"/>
      <c r="T2" s="78"/>
    </row>
    <row r="3" s="71" customFormat="1" hidden="1" spans="1:20">
      <c r="A3" s="71" t="s">
        <v>49</v>
      </c>
      <c r="B3" s="87"/>
      <c r="C3" s="78" t="s">
        <v>53</v>
      </c>
      <c r="D3" s="78" t="s">
        <v>54</v>
      </c>
      <c r="E3" s="78">
        <f t="shared" si="0"/>
        <v>1</v>
      </c>
      <c r="F3" s="85" t="s">
        <v>55</v>
      </c>
      <c r="G3" s="78"/>
      <c r="H3" s="78"/>
      <c r="I3" s="78"/>
      <c r="Q3" s="78"/>
      <c r="R3" s="78"/>
      <c r="S3" s="78"/>
      <c r="T3" s="78"/>
    </row>
    <row r="4" s="71" customFormat="1" hidden="1" spans="1:20">
      <c r="A4" s="71" t="s">
        <v>49</v>
      </c>
      <c r="B4" s="87"/>
      <c r="C4" s="78" t="s">
        <v>56</v>
      </c>
      <c r="D4" s="78" t="s">
        <v>57</v>
      </c>
      <c r="E4" s="78">
        <f t="shared" si="0"/>
        <v>1</v>
      </c>
      <c r="F4" s="85" t="s">
        <v>55</v>
      </c>
      <c r="G4" s="78"/>
      <c r="H4" s="78"/>
      <c r="I4" s="78"/>
      <c r="Q4" s="78"/>
      <c r="R4" s="78"/>
      <c r="S4" s="78"/>
      <c r="T4" s="78"/>
    </row>
    <row r="5" s="71" customFormat="1" hidden="1" spans="1:20">
      <c r="A5" s="71" t="s">
        <v>49</v>
      </c>
      <c r="B5" s="87"/>
      <c r="C5" s="78" t="s">
        <v>58</v>
      </c>
      <c r="D5" s="78" t="s">
        <v>59</v>
      </c>
      <c r="E5" s="78">
        <f t="shared" si="0"/>
        <v>1</v>
      </c>
      <c r="F5" s="85" t="s">
        <v>60</v>
      </c>
      <c r="G5" s="78"/>
      <c r="H5" s="78"/>
      <c r="I5" s="78"/>
      <c r="Q5" s="78"/>
      <c r="R5" s="78"/>
      <c r="S5" s="78"/>
      <c r="T5" s="78"/>
    </row>
    <row r="6" s="71" customFormat="1" ht="78.75" spans="1:20">
      <c r="A6" s="71" t="s">
        <v>49</v>
      </c>
      <c r="B6" s="87"/>
      <c r="C6" s="78" t="s">
        <v>61</v>
      </c>
      <c r="D6" s="78" t="s">
        <v>62</v>
      </c>
      <c r="E6" s="78">
        <f t="shared" si="0"/>
        <v>1</v>
      </c>
      <c r="F6" s="85" t="s">
        <v>63</v>
      </c>
      <c r="G6" s="78"/>
      <c r="H6" s="78" t="s">
        <v>64</v>
      </c>
      <c r="I6" s="78" t="s">
        <v>65</v>
      </c>
      <c r="J6" s="88"/>
      <c r="K6" s="88"/>
      <c r="L6" s="88"/>
      <c r="M6" s="89" t="str">
        <f>H6</f>
        <v>b0</v>
      </c>
      <c r="N6" s="88"/>
      <c r="O6" s="88" t="str">
        <f>IF(AND(OR(EXACT(F6,"I"),EXACT(F6,"O")),NOT(EXACT(P6,"NA"))),CONCATENATE("c_reg_test_sel_",RIGHT(IF(B6=0,LOOKUP(2,1/($B$2:B6&lt;&gt;0),$B$2:B6),B6),LEN(IF(B6=0,LOOKUP(2,1/($B$2:B6&lt;&gt;0),$B$2:B6),B6))-FIND(".",IF(B6=0,LOOKUP(2,1/($B$2:B6&lt;&gt;0),$B$2:B6),B6))),IF(0,CONCATENATE("&amp; !c_test_reg_pin_disable_",RIGHT(IF(B6=0,LOOKUP(2,1/($B$2:B6&lt;&gt;0),$B$2:B6),B6),LEN(IF(B6=0,LOOKUP(2,1/($B$2:B6&lt;&gt;0),$B$2:B6),B6))-FIND(".",IF(B6=0,LOOKUP(2,1/($B$2:B6&lt;&gt;0),$B$2:B6),B6)))),""),IF(P6,CONCATENATE("_grp_",P6),""),"/","c_pad_",RIGHT(IF(B6=0,LOOKUP(2,1/($B$2:B6&lt;&gt;0),$B$2:B6),B6),LEN(IF(B6=0,LOOKUP(2,1/($B$2:B6&lt;&gt;0),$B$2:B6),B6))-FIND(".",IF(B6=0,LOOKUP(2,1/($B$2:B6&lt;&gt;0),$B$2:B6),B6))),"_",IF(ISNUMBER(SEARCH("[",D6)),LEFT(D6,FIND("[",D6)-1),D6)),"")</f>
        <v>c_reg_test_sel_osc32k_inst/c_pad_osc32k_inst_LI_EN</v>
      </c>
      <c r="P6" s="90"/>
      <c r="Q6" s="85" t="s">
        <v>66</v>
      </c>
      <c r="R6" s="91" t="s">
        <v>67</v>
      </c>
      <c r="S6" s="78"/>
      <c r="T6" s="78"/>
    </row>
    <row r="7" s="71" customFormat="1" hidden="1" spans="1:20">
      <c r="A7" s="71" t="s">
        <v>49</v>
      </c>
      <c r="B7" s="87"/>
      <c r="C7" s="78" t="s">
        <v>68</v>
      </c>
      <c r="D7" s="78" t="s">
        <v>69</v>
      </c>
      <c r="E7" s="78">
        <f t="shared" si="0"/>
        <v>1</v>
      </c>
      <c r="F7" s="85" t="s">
        <v>60</v>
      </c>
      <c r="G7" s="78"/>
      <c r="H7" s="78"/>
      <c r="I7" s="86"/>
      <c r="Q7" s="86"/>
      <c r="R7" s="78"/>
      <c r="S7" s="78"/>
      <c r="T7" s="78"/>
    </row>
    <row r="8" s="71" customFormat="1" spans="1:20">
      <c r="A8" s="71" t="s">
        <v>49</v>
      </c>
      <c r="B8" s="87"/>
      <c r="C8" s="78" t="s">
        <v>61</v>
      </c>
      <c r="D8" s="92" t="s">
        <v>70</v>
      </c>
      <c r="E8" s="78">
        <f t="shared" si="0"/>
        <v>8</v>
      </c>
      <c r="F8" s="85" t="s">
        <v>63</v>
      </c>
      <c r="G8" s="78"/>
      <c r="H8" s="78" t="s">
        <v>71</v>
      </c>
      <c r="I8" s="78" t="s">
        <v>65</v>
      </c>
      <c r="J8" s="88"/>
      <c r="K8" s="88"/>
      <c r="L8" s="88"/>
      <c r="M8" s="89" t="str">
        <f>H8</f>
        <v>b01010100</v>
      </c>
      <c r="N8" s="88"/>
      <c r="O8" s="88" t="str">
        <f>IF(AND(OR(EXACT(F8,"I"),EXACT(F8,"O")),NOT(EXACT(P8,"NA"))),CONCATENATE("c_reg_test_sel_",RIGHT(IF(B8=0,LOOKUP(2,1/($B$2:B8&lt;&gt;0),$B$2:B8),B8),LEN(IF(B8=0,LOOKUP(2,1/($B$2:B8&lt;&gt;0),$B$2:B8),B8))-FIND(".",IF(B8=0,LOOKUP(2,1/($B$2:B8&lt;&gt;0),$B$2:B8),B8))),IF(0,CONCATENATE("&amp; !c_test_reg_pin_disable_",RIGHT(IF(B8=0,LOOKUP(2,1/($B$2:B8&lt;&gt;0),$B$2:B8),B8),LEN(IF(B8=0,LOOKUP(2,1/($B$2:B8&lt;&gt;0),$B$2:B8),B8))-FIND(".",IF(B8=0,LOOKUP(2,1/($B$2:B8&lt;&gt;0),$B$2:B8),B8)))),""),IF(P8,CONCATENATE("_grp_",P8),""),"/","c_pad_",RIGHT(IF(B8=0,LOOKUP(2,1/($B$2:B8&lt;&gt;0),$B$2:B8),B8),LEN(IF(B8=0,LOOKUP(2,1/($B$2:B8&lt;&gt;0),$B$2:B8),B8))-FIND(".",IF(B8=0,LOOKUP(2,1/($B$2:B8&lt;&gt;0),$B$2:B8),B8))),"_",IF(ISNUMBER(SEARCH("[",D8)),LEFT(D8,FIND("[",D8)-1),D8)),"")</f>
        <v>c_reg_test_sel_osc32k_inst/c_pad_osc32k_inst_P_FT</v>
      </c>
      <c r="P8" s="90"/>
      <c r="Q8" s="92" t="s">
        <v>72</v>
      </c>
      <c r="R8" s="91" t="s">
        <v>73</v>
      </c>
      <c r="S8" s="78"/>
      <c r="T8" s="78"/>
    </row>
    <row r="9" s="71" customFormat="1" spans="1:20">
      <c r="A9" s="71" t="s">
        <v>49</v>
      </c>
      <c r="B9" s="87"/>
      <c r="C9" s="78" t="s">
        <v>61</v>
      </c>
      <c r="D9" s="92" t="s">
        <v>74</v>
      </c>
      <c r="E9" s="78">
        <f t="shared" si="0"/>
        <v>5</v>
      </c>
      <c r="F9" s="85" t="s">
        <v>63</v>
      </c>
      <c r="G9" s="78"/>
      <c r="H9" s="78" t="s">
        <v>75</v>
      </c>
      <c r="I9" s="78" t="s">
        <v>65</v>
      </c>
      <c r="J9" s="88"/>
      <c r="K9" s="88"/>
      <c r="L9" s="88"/>
      <c r="M9" s="89" t="str">
        <f>H9</f>
        <v>b11100</v>
      </c>
      <c r="N9" s="88"/>
      <c r="O9" s="88" t="str">
        <f>IF(AND(OR(EXACT(F9,"I"),EXACT(F9,"O")),NOT(EXACT(P9,"NA"))),CONCATENATE("c_reg_test_sel_",RIGHT(IF(B9=0,LOOKUP(2,1/($B$2:B9&lt;&gt;0),$B$2:B9),B9),LEN(IF(B9=0,LOOKUP(2,1/($B$2:B9&lt;&gt;0),$B$2:B9),B9))-FIND(".",IF(B9=0,LOOKUP(2,1/($B$2:B9&lt;&gt;0),$B$2:B9),B9))),IF(0,CONCATENATE("&amp; !c_test_reg_pin_disable_",RIGHT(IF(B9=0,LOOKUP(2,1/($B$2:B9&lt;&gt;0),$B$2:B9),B9),LEN(IF(B9=0,LOOKUP(2,1/($B$2:B9&lt;&gt;0),$B$2:B9),B9))-FIND(".",IF(B9=0,LOOKUP(2,1/($B$2:B9&lt;&gt;0),$B$2:B9),B9)))),""),IF(P9,CONCATENATE("_grp_",P9),""),"/","c_pad_",RIGHT(IF(B9=0,LOOKUP(2,1/($B$2:B9&lt;&gt;0),$B$2:B9),B9),LEN(IF(B9=0,LOOKUP(2,1/($B$2:B9&lt;&gt;0),$B$2:B9),B9))-FIND(".",IF(B9=0,LOOKUP(2,1/($B$2:B9&lt;&gt;0),$B$2:B9),B9))),"_",IF(ISNUMBER(SEARCH("[",D9)),LEFT(D9,FIND("[",D9)-1),D9)),"")</f>
        <v>c_reg_test_sel_osc32k_inst/c_pad_osc32k_inst_S_FT</v>
      </c>
      <c r="P9" s="90"/>
      <c r="Q9" s="92" t="s">
        <v>76</v>
      </c>
      <c r="R9" s="91" t="s">
        <v>77</v>
      </c>
      <c r="S9" s="78"/>
      <c r="T9" s="78"/>
    </row>
    <row r="10" s="71" customFormat="1" ht="37.5" hidden="1" customHeight="1" spans="1:20">
      <c r="A10" s="71" t="s">
        <v>49</v>
      </c>
      <c r="B10" s="87"/>
      <c r="C10" s="78" t="s">
        <v>61</v>
      </c>
      <c r="D10" s="85" t="s">
        <v>78</v>
      </c>
      <c r="E10" s="78">
        <f t="shared" si="0"/>
        <v>1</v>
      </c>
      <c r="F10" s="85" t="s">
        <v>79</v>
      </c>
      <c r="G10" s="92"/>
      <c r="H10" s="92"/>
      <c r="I10" s="93" t="s">
        <v>80</v>
      </c>
      <c r="J10" s="88"/>
      <c r="K10" s="88"/>
      <c r="L10" s="88"/>
      <c r="M10" s="89">
        <f>H10</f>
        <v>0</v>
      </c>
      <c r="N10" s="88"/>
      <c r="O10" s="88" t="str">
        <f>IF(AND(OR(EXACT(F10,"I"),EXACT(F10,"O")),NOT(EXACT(P10,"NA"))),CONCATENATE("c_reg_test_sel_",RIGHT(IF(B10=0,LOOKUP(2,1/($B$2:B10&lt;&gt;0),$B$2:B10),B10),LEN(IF(B10=0,LOOKUP(2,1/($B$2:B10&lt;&gt;0),$B$2:B10),B10))-FIND(".",IF(B10=0,LOOKUP(2,1/($B$2:B10&lt;&gt;0),$B$2:B10),B10))),IF(0,CONCATENATE("&amp; !c_test_reg_pin_disable_",RIGHT(IF(B10=0,LOOKUP(2,1/($B$2:B10&lt;&gt;0),$B$2:B10),B10),LEN(IF(B10=0,LOOKUP(2,1/($B$2:B10&lt;&gt;0),$B$2:B10),B10))-FIND(".",IF(B10=0,LOOKUP(2,1/($B$2:B10&lt;&gt;0),$B$2:B10),B10)))),""),IF(P10,CONCATENATE("_grp_",P10),""),"/","c_pad_",RIGHT(IF(B10=0,LOOKUP(2,1/($B$2:B10&lt;&gt;0),$B$2:B10),B10),LEN(IF(B10=0,LOOKUP(2,1/($B$2:B10&lt;&gt;0),$B$2:B10),B10))-FIND(".",IF(B10=0,LOOKUP(2,1/($B$2:B10&lt;&gt;0),$B$2:B10),B10))),"_",IF(ISNUMBER(SEARCH("[",D10)),LEFT(D10,FIND("[",D10)-1),D10)),"")</f>
        <v>c_reg_test_sel_osc32k_inst/c_pad_osc32k_inst_LO_OSC</v>
      </c>
      <c r="P10" s="90"/>
      <c r="Q10" s="85" t="s">
        <v>81</v>
      </c>
      <c r="R10" s="92"/>
      <c r="S10" s="92"/>
      <c r="T10" s="92"/>
    </row>
    <row r="11" s="71" customFormat="1" hidden="1" spans="1:20">
      <c r="A11" s="71" t="s">
        <v>49</v>
      </c>
      <c r="B11" s="87"/>
      <c r="C11" s="78" t="s">
        <v>61</v>
      </c>
      <c r="D11" s="94" t="s">
        <v>82</v>
      </c>
      <c r="E11" s="78">
        <f t="shared" si="0"/>
        <v>1</v>
      </c>
      <c r="F11" s="85" t="s">
        <v>79</v>
      </c>
      <c r="G11" s="92"/>
      <c r="H11" s="92"/>
      <c r="I11" s="78" t="s">
        <v>65</v>
      </c>
      <c r="J11" s="88"/>
      <c r="K11" s="88"/>
      <c r="L11" s="88"/>
      <c r="M11" s="89">
        <f>H11</f>
        <v>0</v>
      </c>
      <c r="N11" s="88"/>
      <c r="O11" s="88" t="str">
        <f>IF(AND(OR(EXACT(F11,"I"),EXACT(F11,"O")),NOT(EXACT(P11,"NA"))),CONCATENATE("c_reg_test_sel_",RIGHT(IF(B11=0,LOOKUP(2,1/($B$2:B11&lt;&gt;0),$B$2:B11),B11),LEN(IF(B11=0,LOOKUP(2,1/($B$2:B11&lt;&gt;0),$B$2:B11),B11))-FIND(".",IF(B11=0,LOOKUP(2,1/($B$2:B11&lt;&gt;0),$B$2:B11),B11))),IF(0,CONCATENATE("&amp; !c_test_reg_pin_disable_",RIGHT(IF(B11=0,LOOKUP(2,1/($B$2:B11&lt;&gt;0),$B$2:B11),B11),LEN(IF(B11=0,LOOKUP(2,1/($B$2:B11&lt;&gt;0),$B$2:B11),B11))-FIND(".",IF(B11=0,LOOKUP(2,1/($B$2:B11&lt;&gt;0),$B$2:B11),B11)))),""),IF(P11,CONCATENATE("_grp_",P11),""),"/","c_pad_",RIGHT(IF(B11=0,LOOKUP(2,1/($B$2:B11&lt;&gt;0),$B$2:B11),B11),LEN(IF(B11=0,LOOKUP(2,1/($B$2:B11&lt;&gt;0),$B$2:B11),B11))-FIND(".",IF(B11=0,LOOKUP(2,1/($B$2:B11&lt;&gt;0),$B$2:B11),B11))),"_",IF(ISNUMBER(SEARCH("[",D11)),LEFT(D11,FIND("[",D11)-1),D11)),"")</f>
        <v>c_reg_test_sel_osc32k_inst/c_pad_osc32k_inst_CLKREADDY</v>
      </c>
      <c r="P11" s="90"/>
      <c r="Q11" s="95" t="s">
        <v>83</v>
      </c>
      <c r="R11" s="96" t="s">
        <v>84</v>
      </c>
      <c r="S11" s="92"/>
      <c r="T11" s="92"/>
    </row>
    <row r="12" s="71" customFormat="1" hidden="1" spans="1:20">
      <c r="A12" s="71" t="s">
        <v>85</v>
      </c>
      <c r="B12" s="84" t="s">
        <v>85</v>
      </c>
      <c r="C12" s="94" t="s">
        <v>86</v>
      </c>
      <c r="D12" s="94" t="s">
        <v>87</v>
      </c>
      <c r="E12" s="78">
        <f t="shared" si="0"/>
        <v>1</v>
      </c>
      <c r="F12" s="85" t="s">
        <v>60</v>
      </c>
      <c r="G12" s="78"/>
      <c r="H12" s="78"/>
      <c r="I12" s="86"/>
      <c r="Q12" s="86" t="s">
        <v>88</v>
      </c>
      <c r="R12" s="94"/>
      <c r="S12" s="94"/>
      <c r="T12" s="78"/>
    </row>
    <row r="13" s="71" customFormat="1" hidden="1" spans="1:20">
      <c r="A13" s="71" t="s">
        <v>85</v>
      </c>
      <c r="B13" s="87"/>
      <c r="C13" s="94" t="s">
        <v>50</v>
      </c>
      <c r="D13" s="94" t="s">
        <v>89</v>
      </c>
      <c r="E13" s="78">
        <f t="shared" si="0"/>
        <v>1</v>
      </c>
      <c r="F13" s="85" t="s">
        <v>52</v>
      </c>
      <c r="G13" s="78"/>
      <c r="H13" s="78"/>
      <c r="I13" s="78"/>
      <c r="Q13" s="78"/>
      <c r="R13" s="94"/>
      <c r="S13" s="94"/>
      <c r="T13" s="78"/>
    </row>
    <row r="14" s="71" customFormat="1" hidden="1" spans="1:20">
      <c r="A14" s="71" t="s">
        <v>85</v>
      </c>
      <c r="B14" s="87"/>
      <c r="C14" s="94" t="s">
        <v>53</v>
      </c>
      <c r="D14" s="94" t="s">
        <v>54</v>
      </c>
      <c r="E14" s="78">
        <f t="shared" si="0"/>
        <v>1</v>
      </c>
      <c r="F14" s="85" t="s">
        <v>55</v>
      </c>
      <c r="G14" s="78"/>
      <c r="H14" s="78"/>
      <c r="I14" s="78"/>
      <c r="Q14" s="78"/>
      <c r="R14" s="94"/>
      <c r="S14" s="94"/>
      <c r="T14" s="78"/>
    </row>
    <row r="15" s="71" customFormat="1" spans="1:20">
      <c r="A15" s="71" t="s">
        <v>85</v>
      </c>
      <c r="B15" s="87"/>
      <c r="C15" s="94" t="s">
        <v>61</v>
      </c>
      <c r="D15" s="94" t="s">
        <v>90</v>
      </c>
      <c r="E15" s="78">
        <f t="shared" si="0"/>
        <v>1</v>
      </c>
      <c r="F15" s="85" t="s">
        <v>63</v>
      </c>
      <c r="G15" s="78"/>
      <c r="H15" s="78" t="s">
        <v>64</v>
      </c>
      <c r="I15" s="78" t="s">
        <v>65</v>
      </c>
      <c r="J15" s="88"/>
      <c r="K15" s="88"/>
      <c r="L15" s="88"/>
      <c r="M15" s="89" t="str">
        <f>H15</f>
        <v>b0</v>
      </c>
      <c r="N15" s="88"/>
      <c r="O15" s="88" t="str">
        <f>IF(AND(OR(EXACT(F15,"I"),EXACT(F15,"O")),NOT(EXACT(P15,"NA"))),CONCATENATE("c_reg_test_sel_",RIGHT(IF(B15=0,LOOKUP(2,1/($B$2:B15&lt;&gt;0),$B$2:B15),B15),LEN(IF(B15=0,LOOKUP(2,1/($B$2:B15&lt;&gt;0),$B$2:B15),B15))-FIND(".",IF(B15=0,LOOKUP(2,1/($B$2:B15&lt;&gt;0),$B$2:B15),B15))),IF(0,CONCATENATE("&amp; !c_test_reg_pin_disable_",RIGHT(IF(B15=0,LOOKUP(2,1/($B$2:B15&lt;&gt;0),$B$2:B15),B15),LEN(IF(B15=0,LOOKUP(2,1/($B$2:B15&lt;&gt;0),$B$2:B15),B15))-FIND(".",IF(B15=0,LOOKUP(2,1/($B$2:B15&lt;&gt;0),$B$2:B15),B15)))),""),IF(P15,CONCATENATE("_grp_",P15),""),"/","c_pad_",RIGHT(IF(B15=0,LOOKUP(2,1/($B$2:B15&lt;&gt;0),$B$2:B15),B15),LEN(IF(B15=0,LOOKUP(2,1/($B$2:B15&lt;&gt;0),$B$2:B15),B15))-FIND(".",IF(B15=0,LOOKUP(2,1/($B$2:B15&lt;&gt;0),$B$2:B15),B15))),"_",IF(ISNUMBER(SEARCH("[",D15)),LEFT(D15,FIND("[",D15)-1),D15)),"")</f>
        <v>c_reg_test_sel_cvr_inst/c_pad_cvr_inst_CVREN</v>
      </c>
      <c r="P15" s="90"/>
      <c r="Q15" s="78" t="s">
        <v>91</v>
      </c>
      <c r="R15" s="96" t="s">
        <v>92</v>
      </c>
      <c r="S15" s="94"/>
      <c r="T15" s="78"/>
    </row>
    <row r="16" s="71" customFormat="1" spans="1:20">
      <c r="A16" s="71" t="s">
        <v>85</v>
      </c>
      <c r="B16" s="87"/>
      <c r="C16" s="94" t="s">
        <v>61</v>
      </c>
      <c r="D16" s="94" t="s">
        <v>93</v>
      </c>
      <c r="E16" s="78">
        <f t="shared" si="0"/>
        <v>4</v>
      </c>
      <c r="F16" s="85" t="s">
        <v>63</v>
      </c>
      <c r="G16" s="78"/>
      <c r="H16" s="78" t="s">
        <v>94</v>
      </c>
      <c r="I16" s="78" t="s">
        <v>65</v>
      </c>
      <c r="J16" s="88"/>
      <c r="K16" s="88"/>
      <c r="L16" s="88"/>
      <c r="M16" s="89" t="str">
        <f>H16</f>
        <v>b0000</v>
      </c>
      <c r="N16" s="88"/>
      <c r="O16" s="88" t="str">
        <f>IF(AND(OR(EXACT(F16,"I"),EXACT(F16,"O")),NOT(EXACT(P16,"NA"))),CONCATENATE("c_reg_test_sel_",RIGHT(IF(B16=0,LOOKUP(2,1/($B$2:B16&lt;&gt;0),$B$2:B16),B16),LEN(IF(B16=0,LOOKUP(2,1/($B$2:B16&lt;&gt;0),$B$2:B16),B16))-FIND(".",IF(B16=0,LOOKUP(2,1/($B$2:B16&lt;&gt;0),$B$2:B16),B16))),IF(0,CONCATENATE("&amp; !c_test_reg_pin_disable_",RIGHT(IF(B16=0,LOOKUP(2,1/($B$2:B16&lt;&gt;0),$B$2:B16),B16),LEN(IF(B16=0,LOOKUP(2,1/($B$2:B16&lt;&gt;0),$B$2:B16),B16))-FIND(".",IF(B16=0,LOOKUP(2,1/($B$2:B16&lt;&gt;0),$B$2:B16),B16)))),""),IF(P16,CONCATENATE("_grp_",P16),""),"/","c_pad_",RIGHT(IF(B16=0,LOOKUP(2,1/($B$2:B16&lt;&gt;0),$B$2:B16),B16),LEN(IF(B16=0,LOOKUP(2,1/($B$2:B16&lt;&gt;0),$B$2:B16),B16))-FIND(".",IF(B16=0,LOOKUP(2,1/($B$2:B16&lt;&gt;0),$B$2:B16),B16))),"_",IF(ISNUMBER(SEARCH("[",D16)),LEFT(D16,FIND("[",D16)-1),D16)),"")</f>
        <v>c_reg_test_sel_cvr_inst/c_pad_cvr_inst_CVRREG</v>
      </c>
      <c r="P16" s="90"/>
      <c r="Q16" s="78" t="s">
        <v>95</v>
      </c>
      <c r="R16" s="96" t="s">
        <v>96</v>
      </c>
      <c r="S16" s="94"/>
      <c r="T16" s="78"/>
    </row>
    <row r="17" s="71" customFormat="1" spans="1:20">
      <c r="A17" s="71" t="s">
        <v>85</v>
      </c>
      <c r="B17" s="87"/>
      <c r="C17" s="94" t="s">
        <v>61</v>
      </c>
      <c r="D17" s="94" t="s">
        <v>97</v>
      </c>
      <c r="E17" s="78">
        <f t="shared" si="0"/>
        <v>4</v>
      </c>
      <c r="F17" s="85" t="s">
        <v>63</v>
      </c>
      <c r="G17" s="78"/>
      <c r="H17" s="78" t="s">
        <v>94</v>
      </c>
      <c r="I17" s="78" t="s">
        <v>65</v>
      </c>
      <c r="J17" s="88"/>
      <c r="K17" s="88"/>
      <c r="L17" s="88"/>
      <c r="M17" s="89" t="str">
        <f>H17</f>
        <v>b0000</v>
      </c>
      <c r="N17" s="88"/>
      <c r="O17" s="88" t="str">
        <f>IF(AND(OR(EXACT(F17,"I"),EXACT(F17,"O")),NOT(EXACT(P17,"NA"))),CONCATENATE("c_reg_test_sel_",RIGHT(IF(B17=0,LOOKUP(2,1/($B$2:B17&lt;&gt;0),$B$2:B17),B17),LEN(IF(B17=0,LOOKUP(2,1/($B$2:B17&lt;&gt;0),$B$2:B17),B17))-FIND(".",IF(B17=0,LOOKUP(2,1/($B$2:B17&lt;&gt;0),$B$2:B17),B17))),IF(0,CONCATENATE("&amp; !c_test_reg_pin_disable_",RIGHT(IF(B17=0,LOOKUP(2,1/($B$2:B17&lt;&gt;0),$B$2:B17),B17),LEN(IF(B17=0,LOOKUP(2,1/($B$2:B17&lt;&gt;0),$B$2:B17),B17))-FIND(".",IF(B17=0,LOOKUP(2,1/($B$2:B17&lt;&gt;0),$B$2:B17),B17)))),""),IF(P17,CONCATENATE("_grp_",P17),""),"/","c_pad_",RIGHT(IF(B17=0,LOOKUP(2,1/($B$2:B17&lt;&gt;0),$B$2:B17),B17),LEN(IF(B17=0,LOOKUP(2,1/($B$2:B17&lt;&gt;0),$B$2:B17),B17))-FIND(".",IF(B17=0,LOOKUP(2,1/($B$2:B17&lt;&gt;0),$B$2:B17),B17))),"_",IF(ISNUMBER(SEARCH("[",D17)),LEFT(D17,FIND("[",D17)-1),D17)),"")</f>
        <v>c_reg_test_sel_cvr_inst/c_pad_cvr_inst_CVRSEL</v>
      </c>
      <c r="P17" s="90"/>
      <c r="Q17" s="78" t="s">
        <v>98</v>
      </c>
      <c r="R17" s="96" t="s">
        <v>99</v>
      </c>
      <c r="S17" s="94"/>
      <c r="T17" s="78"/>
    </row>
    <row r="18" s="71" customFormat="1" hidden="1" spans="1:20">
      <c r="A18" s="71" t="s">
        <v>85</v>
      </c>
      <c r="B18" s="87"/>
      <c r="C18" s="94" t="s">
        <v>86</v>
      </c>
      <c r="D18" s="94" t="s">
        <v>100</v>
      </c>
      <c r="E18" s="78">
        <f t="shared" si="0"/>
        <v>1</v>
      </c>
      <c r="F18" s="85" t="s">
        <v>60</v>
      </c>
      <c r="G18" s="78"/>
      <c r="H18" s="78"/>
      <c r="I18" s="86"/>
      <c r="Q18" s="86" t="s">
        <v>101</v>
      </c>
      <c r="R18" s="94"/>
      <c r="S18" s="94"/>
      <c r="T18" s="78"/>
    </row>
    <row r="19" s="71" customFormat="1" hidden="1" spans="1:20">
      <c r="A19" s="71" t="s">
        <v>102</v>
      </c>
      <c r="B19" s="84" t="s">
        <v>102</v>
      </c>
      <c r="C19" s="94" t="s">
        <v>50</v>
      </c>
      <c r="D19" s="94" t="s">
        <v>103</v>
      </c>
      <c r="E19" s="78">
        <f t="shared" si="0"/>
        <v>1</v>
      </c>
      <c r="F19" s="85" t="s">
        <v>52</v>
      </c>
      <c r="G19" s="78"/>
      <c r="H19" s="78"/>
      <c r="I19" s="78"/>
      <c r="Q19" s="78"/>
      <c r="R19" s="78"/>
      <c r="S19" s="78"/>
      <c r="T19" s="78"/>
    </row>
    <row r="20" s="71" customFormat="1" hidden="1" spans="1:20">
      <c r="A20" s="71" t="s">
        <v>102</v>
      </c>
      <c r="B20" s="87"/>
      <c r="C20" s="94" t="s">
        <v>53</v>
      </c>
      <c r="D20" s="94" t="s">
        <v>104</v>
      </c>
      <c r="E20" s="78">
        <f t="shared" si="0"/>
        <v>1</v>
      </c>
      <c r="F20" s="85" t="s">
        <v>55</v>
      </c>
      <c r="G20" s="78"/>
      <c r="H20" s="78"/>
      <c r="I20" s="78"/>
      <c r="Q20" s="85"/>
      <c r="R20" s="78"/>
      <c r="S20" s="78"/>
      <c r="T20" s="78"/>
    </row>
    <row r="21" s="71" customFormat="1" hidden="1" spans="1:20">
      <c r="A21" s="71" t="s">
        <v>102</v>
      </c>
      <c r="B21" s="87"/>
      <c r="C21" s="94" t="s">
        <v>56</v>
      </c>
      <c r="D21" s="94" t="s">
        <v>105</v>
      </c>
      <c r="E21" s="78">
        <f t="shared" si="0"/>
        <v>1</v>
      </c>
      <c r="F21" s="85" t="s">
        <v>55</v>
      </c>
      <c r="G21" s="78"/>
      <c r="H21" s="78"/>
      <c r="I21" s="78"/>
      <c r="Q21" s="85"/>
      <c r="R21" s="78"/>
      <c r="S21" s="78"/>
      <c r="T21" s="78"/>
    </row>
    <row r="22" s="71" customFormat="1" spans="1:20">
      <c r="A22" s="71" t="s">
        <v>102</v>
      </c>
      <c r="B22" s="87"/>
      <c r="C22" s="94" t="s">
        <v>61</v>
      </c>
      <c r="D22" s="94" t="s">
        <v>106</v>
      </c>
      <c r="E22" s="78">
        <f t="shared" si="0"/>
        <v>1</v>
      </c>
      <c r="F22" s="85" t="s">
        <v>63</v>
      </c>
      <c r="G22" s="78"/>
      <c r="H22" s="93" t="s">
        <v>64</v>
      </c>
      <c r="I22" s="78" t="s">
        <v>65</v>
      </c>
      <c r="J22" s="88"/>
      <c r="K22" s="88"/>
      <c r="L22" s="88"/>
      <c r="M22" s="89" t="str">
        <f>H22</f>
        <v>b0</v>
      </c>
      <c r="N22" s="88"/>
      <c r="O22" s="88" t="str">
        <f>IF(AND(OR(EXACT(F22,"I"),EXACT(F22,"O")),NOT(EXACT(P22,"NA"))),CONCATENATE("c_reg_test_sel_",RIGHT(IF(B22=0,LOOKUP(2,1/($B$2:B22&lt;&gt;0),$B$2:B22),B22),LEN(IF(B22=0,LOOKUP(2,1/($B$2:B22&lt;&gt;0),$B$2:B22),B22))-FIND(".",IF(B22=0,LOOKUP(2,1/($B$2:B22&lt;&gt;0),$B$2:B22),B22))),IF(0,CONCATENATE("&amp; !c_test_reg_pin_disable_",RIGHT(IF(B22=0,LOOKUP(2,1/($B$2:B22&lt;&gt;0),$B$2:B22),B22),LEN(IF(B22=0,LOOKUP(2,1/($B$2:B22&lt;&gt;0),$B$2:B22),B22))-FIND(".",IF(B22=0,LOOKUP(2,1/($B$2:B22&lt;&gt;0),$B$2:B22),B22)))),""),IF(P22,CONCATENATE("_grp_",P22),""),"/","c_pad_",RIGHT(IF(B22=0,LOOKUP(2,1/($B$2:B22&lt;&gt;0),$B$2:B22),B22),LEN(IF(B22=0,LOOKUP(2,1/($B$2:B22&lt;&gt;0),$B$2:B22),B22))-FIND(".",IF(B22=0,LOOKUP(2,1/($B$2:B22&lt;&gt;0),$B$2:B22),B22))),"_",IF(ISNUMBER(SEARCH("[",D22)),LEFT(D22,FIND("[",D22)-1),D22)),"")</f>
        <v>c_reg_test_sel_ulppmu_inst/c_pad_ulppmu_inst_L_INIB</v>
      </c>
      <c r="P22" s="90"/>
      <c r="Q22" s="85" t="s">
        <v>107</v>
      </c>
      <c r="R22" s="96" t="s">
        <v>108</v>
      </c>
      <c r="S22" s="78"/>
      <c r="T22" s="78"/>
    </row>
    <row r="23" s="71" customFormat="1" spans="1:20">
      <c r="A23" s="71" t="s">
        <v>102</v>
      </c>
      <c r="B23" s="87"/>
      <c r="C23" s="94" t="s">
        <v>61</v>
      </c>
      <c r="D23" s="94" t="s">
        <v>109</v>
      </c>
      <c r="E23" s="78">
        <f t="shared" si="0"/>
        <v>1</v>
      </c>
      <c r="F23" s="85" t="s">
        <v>63</v>
      </c>
      <c r="G23" s="78"/>
      <c r="H23" s="93" t="s">
        <v>64</v>
      </c>
      <c r="I23" s="78" t="s">
        <v>65</v>
      </c>
      <c r="J23" s="88"/>
      <c r="K23" s="88"/>
      <c r="L23" s="88"/>
      <c r="M23" s="89" t="str">
        <f>H23</f>
        <v>b0</v>
      </c>
      <c r="N23" s="88"/>
      <c r="O23" s="88" t="str">
        <f>IF(AND(OR(EXACT(F23,"I"),EXACT(F23,"O")),NOT(EXACT(P23,"NA"))),CONCATENATE("c_reg_test_sel_",RIGHT(IF(B23=0,LOOKUP(2,1/($B$2:B23&lt;&gt;0),$B$2:B23),B23),LEN(IF(B23=0,LOOKUP(2,1/($B$2:B23&lt;&gt;0),$B$2:B23),B23))-FIND(".",IF(B23=0,LOOKUP(2,1/($B$2:B23&lt;&gt;0),$B$2:B23),B23))),IF(0,CONCATENATE("&amp; !c_test_reg_pin_disable_",RIGHT(IF(B23=0,LOOKUP(2,1/($B$2:B23&lt;&gt;0),$B$2:B23),B23),LEN(IF(B23=0,LOOKUP(2,1/($B$2:B23&lt;&gt;0),$B$2:B23),B23))-FIND(".",IF(B23=0,LOOKUP(2,1/($B$2:B23&lt;&gt;0),$B$2:B23),B23)))),""),IF(P23,CONCATENATE("_grp_",P23),""),"/","c_pad_",RIGHT(IF(B23=0,LOOKUP(2,1/($B$2:B23&lt;&gt;0),$B$2:B23),B23),LEN(IF(B23=0,LOOKUP(2,1/($B$2:B23&lt;&gt;0),$B$2:B23),B23))-FIND(".",IF(B23=0,LOOKUP(2,1/($B$2:B23&lt;&gt;0),$B$2:B23),B23))),"_",IF(ISNUMBER(SEARCH("[",D23)),LEFT(D23,FIND("[",D23)-1),D23)),"")</f>
        <v>c_reg_test_sel_ulppmu_inst/c_pad_ulppmu_inst_L_LPM</v>
      </c>
      <c r="P23" s="90"/>
      <c r="Q23" s="85" t="s">
        <v>107</v>
      </c>
      <c r="R23" s="96" t="s">
        <v>108</v>
      </c>
      <c r="S23" s="78"/>
      <c r="T23" s="78"/>
    </row>
    <row r="24" s="71" customFormat="1" spans="1:20">
      <c r="A24" s="71" t="s">
        <v>102</v>
      </c>
      <c r="B24" s="87"/>
      <c r="C24" s="94" t="s">
        <v>61</v>
      </c>
      <c r="D24" s="94" t="s">
        <v>110</v>
      </c>
      <c r="E24" s="78">
        <f t="shared" si="0"/>
        <v>3</v>
      </c>
      <c r="F24" s="85" t="s">
        <v>63</v>
      </c>
      <c r="G24" s="78"/>
      <c r="H24" s="130" t="s">
        <v>111</v>
      </c>
      <c r="I24" s="78" t="s">
        <v>65</v>
      </c>
      <c r="J24" s="88"/>
      <c r="K24" s="88"/>
      <c r="L24" s="88"/>
      <c r="M24" s="131" t="str">
        <f>H24</f>
        <v>b100</v>
      </c>
      <c r="N24" s="88"/>
      <c r="O24" s="88" t="str">
        <f>IF(AND(OR(EXACT(F24,"I"),EXACT(F24,"O")),NOT(EXACT(P24,"NA"))),CONCATENATE("c_reg_test_sel_",RIGHT(IF(B24=0,LOOKUP(2,1/($B$2:B24&lt;&gt;0),$B$2:B24),B24),LEN(IF(B24=0,LOOKUP(2,1/($B$2:B24&lt;&gt;0),$B$2:B24),B24))-FIND(".",IF(B24=0,LOOKUP(2,1/($B$2:B24&lt;&gt;0),$B$2:B24),B24))),IF(0,CONCATENATE("&amp; !c_test_reg_pin_disable_",RIGHT(IF(B24=0,LOOKUP(2,1/($B$2:B24&lt;&gt;0),$B$2:B24),B24),LEN(IF(B24=0,LOOKUP(2,1/($B$2:B24&lt;&gt;0),$B$2:B24),B24))-FIND(".",IF(B24=0,LOOKUP(2,1/($B$2:B24&lt;&gt;0),$B$2:B24),B24)))),""),IF(P24,CONCATENATE("_grp_",P24),""),"/","c_pad_",RIGHT(IF(B24=0,LOOKUP(2,1/($B$2:B24&lt;&gt;0),$B$2:B24),B24),LEN(IF(B24=0,LOOKUP(2,1/($B$2:B24&lt;&gt;0),$B$2:B24),B24))-FIND(".",IF(B24=0,LOOKUP(2,1/($B$2:B24&lt;&gt;0),$B$2:B24),B24))),"_",IF(ISNUMBER(SEARCH("[",D24)),LEFT(D24,FIND("[",D24)-1),D24)),"")</f>
        <v>c_reg_test_sel_ulppmu_inst/c_pad_ulppmu_inst_L_VR</v>
      </c>
      <c r="P24" s="90"/>
      <c r="Q24" s="85" t="s">
        <v>112</v>
      </c>
      <c r="R24" s="96" t="s">
        <v>113</v>
      </c>
      <c r="S24" s="78"/>
      <c r="T24" s="78"/>
    </row>
    <row r="25" s="71" customFormat="1" spans="1:20">
      <c r="A25" s="71" t="s">
        <v>102</v>
      </c>
      <c r="B25" s="87"/>
      <c r="C25" s="94" t="s">
        <v>61</v>
      </c>
      <c r="D25" s="94" t="s">
        <v>114</v>
      </c>
      <c r="E25" s="78">
        <f t="shared" si="0"/>
        <v>6</v>
      </c>
      <c r="F25" s="85" t="s">
        <v>63</v>
      </c>
      <c r="G25" s="78"/>
      <c r="H25" s="130" t="s">
        <v>115</v>
      </c>
      <c r="I25" s="78" t="s">
        <v>65</v>
      </c>
      <c r="J25" s="88"/>
      <c r="K25" s="88"/>
      <c r="L25" s="88"/>
      <c r="M25" s="131" t="str">
        <f>H25</f>
        <v>b100000</v>
      </c>
      <c r="N25" s="88"/>
      <c r="O25" s="88" t="str">
        <f>IF(AND(OR(EXACT(F25,"I"),EXACT(F25,"O")),NOT(EXACT(P25,"NA"))),CONCATENATE("c_reg_test_sel_",RIGHT(IF(B25=0,LOOKUP(2,1/($B$2:B25&lt;&gt;0),$B$2:B25),B25),LEN(IF(B25=0,LOOKUP(2,1/($B$2:B25&lt;&gt;0),$B$2:B25),B25))-FIND(".",IF(B25=0,LOOKUP(2,1/($B$2:B25&lt;&gt;0),$B$2:B25),B25))),IF(0,CONCATENATE("&amp; !c_test_reg_pin_disable_",RIGHT(IF(B25=0,LOOKUP(2,1/($B$2:B25&lt;&gt;0),$B$2:B25),B25),LEN(IF(B25=0,LOOKUP(2,1/($B$2:B25&lt;&gt;0),$B$2:B25),B25))-FIND(".",IF(B25=0,LOOKUP(2,1/($B$2:B25&lt;&gt;0),$B$2:B25),B25)))),""),IF(P25,CONCATENATE("_grp_",P25),""),"/","c_pad_",RIGHT(IF(B25=0,LOOKUP(2,1/($B$2:B25&lt;&gt;0),$B$2:B25),B25),LEN(IF(B25=0,LOOKUP(2,1/($B$2:B25&lt;&gt;0),$B$2:B25),B25))-FIND(".",IF(B25=0,LOOKUP(2,1/($B$2:B25&lt;&gt;0),$B$2:B25),B25))),"_",IF(ISNUMBER(SEARCH("[",D25)),LEFT(D25,FIND("[",D25)-1),D25)),"")</f>
        <v>c_reg_test_sel_ulppmu_inst/c_pad_ulppmu_inst_L_VT</v>
      </c>
      <c r="P25" s="90"/>
      <c r="Q25" s="85" t="s">
        <v>112</v>
      </c>
      <c r="R25" s="96" t="s">
        <v>116</v>
      </c>
      <c r="S25" s="78"/>
      <c r="T25" s="78"/>
    </row>
    <row r="26" s="71" customFormat="1" ht="47.25" hidden="1" spans="1:20">
      <c r="A26" s="71" t="s">
        <v>102</v>
      </c>
      <c r="B26" s="87"/>
      <c r="C26" s="94" t="s">
        <v>86</v>
      </c>
      <c r="D26" s="94" t="s">
        <v>87</v>
      </c>
      <c r="E26" s="78">
        <f t="shared" si="0"/>
        <v>1</v>
      </c>
      <c r="F26" s="85" t="s">
        <v>60</v>
      </c>
      <c r="G26" s="78"/>
      <c r="H26" s="78"/>
      <c r="I26" s="86"/>
      <c r="Q26" s="97" t="s">
        <v>117</v>
      </c>
      <c r="R26" s="78"/>
      <c r="S26" s="78"/>
      <c r="T26" s="78"/>
    </row>
    <row r="27" s="71" customFormat="1" hidden="1" spans="1:20">
      <c r="A27" s="71" t="s">
        <v>102</v>
      </c>
      <c r="B27" s="87"/>
      <c r="C27" s="94" t="s">
        <v>86</v>
      </c>
      <c r="D27" s="94" t="s">
        <v>118</v>
      </c>
      <c r="E27" s="78">
        <f t="shared" si="0"/>
        <v>5</v>
      </c>
      <c r="F27" s="85" t="s">
        <v>60</v>
      </c>
      <c r="G27" s="78"/>
      <c r="H27" s="78"/>
      <c r="I27" s="78"/>
      <c r="Q27" s="85" t="s">
        <v>119</v>
      </c>
      <c r="R27" s="78"/>
      <c r="S27" s="78"/>
      <c r="T27" s="78"/>
    </row>
    <row r="28" s="71" customFormat="1" hidden="1" spans="1:20">
      <c r="A28" s="71" t="s">
        <v>102</v>
      </c>
      <c r="B28" s="87"/>
      <c r="C28" s="94" t="s">
        <v>86</v>
      </c>
      <c r="D28" s="94" t="s">
        <v>120</v>
      </c>
      <c r="E28" s="78">
        <f t="shared" si="0"/>
        <v>1</v>
      </c>
      <c r="F28" s="85" t="s">
        <v>60</v>
      </c>
      <c r="G28" s="78"/>
      <c r="H28" s="78"/>
      <c r="I28" s="78"/>
      <c r="Q28" s="85" t="s">
        <v>121</v>
      </c>
      <c r="R28" s="78"/>
      <c r="S28" s="78"/>
      <c r="T28" s="78"/>
    </row>
    <row r="29" s="71" customFormat="1" hidden="1" spans="1:20">
      <c r="A29" s="71" t="s">
        <v>102</v>
      </c>
      <c r="B29" s="87"/>
      <c r="C29" s="94" t="s">
        <v>86</v>
      </c>
      <c r="D29" s="94" t="s">
        <v>122</v>
      </c>
      <c r="E29" s="78">
        <f t="shared" si="0"/>
        <v>1</v>
      </c>
      <c r="F29" s="85" t="s">
        <v>60</v>
      </c>
      <c r="G29" s="78"/>
      <c r="H29" s="78"/>
      <c r="I29" s="78"/>
      <c r="Q29" s="85" t="s">
        <v>123</v>
      </c>
      <c r="R29" s="78"/>
      <c r="S29" s="78"/>
      <c r="T29" s="78"/>
    </row>
    <row r="30" s="71" customFormat="1" hidden="1" spans="1:20">
      <c r="A30" s="71" t="s">
        <v>102</v>
      </c>
      <c r="B30" s="87"/>
      <c r="C30" s="94" t="s">
        <v>86</v>
      </c>
      <c r="D30" s="94" t="s">
        <v>124</v>
      </c>
      <c r="E30" s="78">
        <f t="shared" si="0"/>
        <v>1</v>
      </c>
      <c r="F30" s="85" t="s">
        <v>60</v>
      </c>
      <c r="G30" s="78"/>
      <c r="H30" s="78"/>
      <c r="I30" s="78"/>
      <c r="Q30" s="85" t="s">
        <v>125</v>
      </c>
      <c r="R30" s="78"/>
      <c r="S30" s="78"/>
      <c r="T30" s="78"/>
    </row>
    <row r="31" s="71" customFormat="1" ht="47.25" hidden="1" spans="1:20">
      <c r="A31" s="71" t="s">
        <v>102</v>
      </c>
      <c r="B31" s="87"/>
      <c r="C31" s="94" t="s">
        <v>61</v>
      </c>
      <c r="D31" s="94" t="s">
        <v>126</v>
      </c>
      <c r="E31" s="78">
        <f t="shared" si="0"/>
        <v>1</v>
      </c>
      <c r="F31" s="85" t="s">
        <v>79</v>
      </c>
      <c r="G31" s="78"/>
      <c r="H31" s="78"/>
      <c r="I31" s="78" t="s">
        <v>65</v>
      </c>
      <c r="J31" s="88"/>
      <c r="K31" s="88"/>
      <c r="L31" s="88"/>
      <c r="M31" s="89">
        <f>H31</f>
        <v>0</v>
      </c>
      <c r="N31" s="88"/>
      <c r="O31" s="88" t="str">
        <f>IF(AND(OR(EXACT(F31,"I"),EXACT(F31,"O")),NOT(EXACT(P31,"NA"))),CONCATENATE("c_reg_test_sel_",RIGHT(IF(B31=0,LOOKUP(2,1/($B$2:B31&lt;&gt;0),$B$2:B31),B31),LEN(IF(B31=0,LOOKUP(2,1/($B$2:B31&lt;&gt;0),$B$2:B31),B31))-FIND(".",IF(B31=0,LOOKUP(2,1/($B$2:B31&lt;&gt;0),$B$2:B31),B31))),IF(0,CONCATENATE("&amp; !c_test_reg_pin_disable_",RIGHT(IF(B31=0,LOOKUP(2,1/($B$2:B31&lt;&gt;0),$B$2:B31),B31),LEN(IF(B31=0,LOOKUP(2,1/($B$2:B31&lt;&gt;0),$B$2:B31),B31))-FIND(".",IF(B31=0,LOOKUP(2,1/($B$2:B31&lt;&gt;0),$B$2:B31),B31)))),""),IF(P31,CONCATENATE("_grp_",P31),""),"/","c_pad_",RIGHT(IF(B31=0,LOOKUP(2,1/($B$2:B31&lt;&gt;0),$B$2:B31),B31),LEN(IF(B31=0,LOOKUP(2,1/($B$2:B31&lt;&gt;0),$B$2:B31),B31))-FIND(".",IF(B31=0,LOOKUP(2,1/($B$2:B31&lt;&gt;0),$B$2:B31),B31))),"_",IF(ISNUMBER(SEARCH("[",D31)),LEFT(D31,FIND("[",D31)-1),D31)),"")</f>
        <v>c_reg_test_sel_ulppmu_inst/c_pad_ulppmu_inst_rstn_por_lv</v>
      </c>
      <c r="P31" s="90"/>
      <c r="Q31" s="85" t="s">
        <v>127</v>
      </c>
      <c r="R31" s="91" t="s">
        <v>128</v>
      </c>
      <c r="S31" s="78"/>
      <c r="T31" s="78"/>
    </row>
    <row r="32" hidden="1" spans="1:20">
      <c r="A32" s="72" t="s">
        <v>129</v>
      </c>
      <c r="B32" s="93" t="s">
        <v>129</v>
      </c>
      <c r="C32" s="78" t="s">
        <v>50</v>
      </c>
      <c r="D32" s="78" t="s">
        <v>89</v>
      </c>
      <c r="E32" s="78">
        <f t="shared" si="0"/>
        <v>1</v>
      </c>
      <c r="F32" s="98" t="s">
        <v>52</v>
      </c>
      <c r="G32" s="93" t="s">
        <v>130</v>
      </c>
      <c r="H32" s="93"/>
      <c r="I32" s="99"/>
      <c r="M32" s="72"/>
      <c r="P32" s="72"/>
      <c r="Q32" s="100" t="s">
        <v>131</v>
      </c>
      <c r="R32" s="78"/>
      <c r="S32" s="78"/>
      <c r="T32" s="93"/>
    </row>
    <row r="33" hidden="1" spans="1:20">
      <c r="A33" s="72" t="s">
        <v>129</v>
      </c>
      <c r="B33" s="93"/>
      <c r="C33" s="78" t="s">
        <v>50</v>
      </c>
      <c r="D33" s="78" t="s">
        <v>132</v>
      </c>
      <c r="E33" s="78">
        <f t="shared" si="0"/>
        <v>1</v>
      </c>
      <c r="F33" s="98" t="s">
        <v>52</v>
      </c>
      <c r="G33" s="93" t="s">
        <v>130</v>
      </c>
      <c r="H33" s="93"/>
      <c r="I33" s="93"/>
      <c r="M33" s="72"/>
      <c r="P33" s="72"/>
      <c r="Q33" s="93" t="s">
        <v>133</v>
      </c>
      <c r="R33" s="78"/>
      <c r="S33" s="78"/>
      <c r="T33" s="93"/>
    </row>
    <row r="34" hidden="1" spans="1:20">
      <c r="A34" s="72" t="s">
        <v>129</v>
      </c>
      <c r="B34" s="93"/>
      <c r="C34" s="78" t="s">
        <v>134</v>
      </c>
      <c r="D34" s="78" t="s">
        <v>51</v>
      </c>
      <c r="E34" s="78">
        <f t="shared" ref="E34:E57" si="1">IF(AND(ISNUMBER(FIND("[",D34)),ISNUMBER(FIND("]",D34)),ISNUMBER(FIND(":",D34))),MID(D34,FIND("[",D34)+1,FIND(":",D34)-FIND("[",D34)-1)+1-MID(D34,FIND(":",D34)+1,FIND("]",D34)-FIND(":",D34)-1),IF(OR(ISNUMBER(FIND("[",D34)),ISNUMBER(FIND("]",D34)),ISNUMBER(FIND(":",D34))),"ERROR",1))</f>
        <v>1</v>
      </c>
      <c r="F34" s="98" t="s">
        <v>52</v>
      </c>
      <c r="G34" s="93" t="s">
        <v>135</v>
      </c>
      <c r="H34" s="93"/>
      <c r="I34" s="93"/>
      <c r="M34" s="72"/>
      <c r="P34" s="72"/>
      <c r="Q34" s="93" t="s">
        <v>131</v>
      </c>
      <c r="R34" s="78"/>
      <c r="S34" s="78"/>
      <c r="T34" s="93"/>
    </row>
    <row r="35" hidden="1" spans="1:20">
      <c r="A35" s="72" t="s">
        <v>129</v>
      </c>
      <c r="B35" s="93"/>
      <c r="C35" s="78" t="s">
        <v>56</v>
      </c>
      <c r="D35" s="78" t="s">
        <v>57</v>
      </c>
      <c r="E35" s="78">
        <f t="shared" si="1"/>
        <v>1</v>
      </c>
      <c r="F35" s="98" t="s">
        <v>55</v>
      </c>
      <c r="G35" s="93" t="s">
        <v>135</v>
      </c>
      <c r="H35" s="93"/>
      <c r="I35" s="93"/>
      <c r="M35" s="72"/>
      <c r="P35" s="72"/>
      <c r="Q35" s="93">
        <v>0</v>
      </c>
      <c r="R35" s="78"/>
      <c r="S35" s="78"/>
      <c r="T35" s="93"/>
    </row>
    <row r="36" hidden="1" spans="1:20">
      <c r="A36" s="72" t="s">
        <v>129</v>
      </c>
      <c r="B36" s="93"/>
      <c r="C36" s="78" t="s">
        <v>53</v>
      </c>
      <c r="D36" s="78" t="s">
        <v>54</v>
      </c>
      <c r="E36" s="78">
        <f t="shared" si="1"/>
        <v>1</v>
      </c>
      <c r="F36" s="98" t="s">
        <v>55</v>
      </c>
      <c r="G36" s="93"/>
      <c r="H36" s="93"/>
      <c r="I36" s="93"/>
      <c r="M36" s="72"/>
      <c r="P36" s="72"/>
      <c r="Q36" s="93">
        <v>0</v>
      </c>
      <c r="R36" s="78"/>
      <c r="S36" s="78"/>
      <c r="T36" s="93"/>
    </row>
    <row r="37" hidden="1" spans="1:20">
      <c r="A37" s="72" t="s">
        <v>129</v>
      </c>
      <c r="B37" s="93"/>
      <c r="C37" s="78" t="s">
        <v>134</v>
      </c>
      <c r="D37" s="78" t="s">
        <v>136</v>
      </c>
      <c r="E37" s="78">
        <f t="shared" si="1"/>
        <v>1</v>
      </c>
      <c r="F37" s="98" t="s">
        <v>52</v>
      </c>
      <c r="G37" s="93"/>
      <c r="H37" s="93"/>
      <c r="I37" s="93"/>
      <c r="M37" s="72"/>
      <c r="P37" s="72"/>
      <c r="Q37" s="93" t="s">
        <v>137</v>
      </c>
      <c r="R37" s="78"/>
      <c r="S37" s="78"/>
      <c r="T37" s="93"/>
    </row>
    <row r="38" hidden="1" spans="1:20">
      <c r="A38" s="72" t="s">
        <v>129</v>
      </c>
      <c r="B38" s="93"/>
      <c r="C38" s="78" t="s">
        <v>138</v>
      </c>
      <c r="D38" s="78" t="s">
        <v>139</v>
      </c>
      <c r="E38" s="78">
        <f t="shared" si="1"/>
        <v>12</v>
      </c>
      <c r="F38" s="98" t="s">
        <v>140</v>
      </c>
      <c r="G38" s="93"/>
      <c r="H38" s="93"/>
      <c r="I38" s="93"/>
      <c r="M38" s="72"/>
      <c r="P38" s="72"/>
      <c r="Q38" s="93" t="s">
        <v>141</v>
      </c>
      <c r="R38" s="78"/>
      <c r="S38" s="78"/>
      <c r="T38" s="93"/>
    </row>
    <row r="39" hidden="1" spans="1:20">
      <c r="A39" s="72" t="s">
        <v>129</v>
      </c>
      <c r="B39" s="93"/>
      <c r="C39" s="78" t="s">
        <v>142</v>
      </c>
      <c r="D39" s="78" t="s">
        <v>143</v>
      </c>
      <c r="E39" s="78">
        <f t="shared" si="1"/>
        <v>12</v>
      </c>
      <c r="F39" s="98" t="s">
        <v>140</v>
      </c>
      <c r="G39" s="93"/>
      <c r="H39" s="93"/>
      <c r="I39" s="93"/>
      <c r="M39" s="72"/>
      <c r="P39" s="72"/>
      <c r="Q39" s="93" t="s">
        <v>141</v>
      </c>
      <c r="R39" s="78"/>
      <c r="S39" s="78"/>
      <c r="T39" s="93"/>
    </row>
    <row r="40" hidden="1" spans="1:20">
      <c r="A40" s="72" t="s">
        <v>129</v>
      </c>
      <c r="B40" s="93"/>
      <c r="C40" s="78" t="s">
        <v>144</v>
      </c>
      <c r="D40" s="78" t="s">
        <v>145</v>
      </c>
      <c r="E40" s="78">
        <f t="shared" si="1"/>
        <v>1</v>
      </c>
      <c r="F40" s="98" t="s">
        <v>140</v>
      </c>
      <c r="G40" s="93"/>
      <c r="H40" s="93"/>
      <c r="I40" s="93"/>
      <c r="M40" s="72"/>
      <c r="P40" s="72"/>
      <c r="Q40" s="93" t="s">
        <v>146</v>
      </c>
      <c r="R40" s="78"/>
      <c r="S40" s="78"/>
      <c r="T40" s="93"/>
    </row>
    <row r="41" hidden="1" spans="1:20">
      <c r="A41" s="72" t="s">
        <v>129</v>
      </c>
      <c r="B41" s="93"/>
      <c r="C41" s="78" t="s">
        <v>147</v>
      </c>
      <c r="D41" s="78" t="s">
        <v>148</v>
      </c>
      <c r="E41" s="78">
        <f t="shared" si="1"/>
        <v>1</v>
      </c>
      <c r="F41" s="98" t="s">
        <v>140</v>
      </c>
      <c r="G41" s="93"/>
      <c r="H41" s="93"/>
      <c r="I41" s="93"/>
      <c r="M41" s="72"/>
      <c r="P41" s="72"/>
      <c r="Q41" s="83" t="s">
        <v>149</v>
      </c>
      <c r="R41" s="78"/>
      <c r="S41" s="78"/>
      <c r="T41" s="93"/>
    </row>
    <row r="42" hidden="1" spans="1:20">
      <c r="A42" s="72" t="s">
        <v>129</v>
      </c>
      <c r="B42" s="93"/>
      <c r="C42" s="78" t="s">
        <v>150</v>
      </c>
      <c r="D42" s="78" t="s">
        <v>151</v>
      </c>
      <c r="E42" s="78">
        <f t="shared" si="1"/>
        <v>1</v>
      </c>
      <c r="F42" s="98" t="s">
        <v>140</v>
      </c>
      <c r="G42" s="93"/>
      <c r="H42" s="93"/>
      <c r="I42" s="93"/>
      <c r="M42" s="72"/>
      <c r="P42" s="72"/>
      <c r="Q42" s="83" t="s">
        <v>152</v>
      </c>
      <c r="R42" s="78"/>
      <c r="S42" s="78"/>
      <c r="T42" s="93"/>
    </row>
    <row r="43" hidden="1" spans="1:20">
      <c r="A43" s="72" t="s">
        <v>129</v>
      </c>
      <c r="B43" s="93"/>
      <c r="C43" s="78" t="s">
        <v>153</v>
      </c>
      <c r="D43" s="78" t="s">
        <v>154</v>
      </c>
      <c r="E43" s="78">
        <f t="shared" si="1"/>
        <v>1</v>
      </c>
      <c r="F43" s="98" t="s">
        <v>140</v>
      </c>
      <c r="G43" s="93"/>
      <c r="H43" s="93"/>
      <c r="I43" s="93"/>
      <c r="M43" s="72"/>
      <c r="P43" s="72"/>
      <c r="Q43" s="83" t="s">
        <v>155</v>
      </c>
      <c r="R43" s="78"/>
      <c r="S43" s="78"/>
      <c r="T43" s="93"/>
    </row>
    <row r="44" hidden="1" spans="1:20">
      <c r="A44" s="72" t="s">
        <v>129</v>
      </c>
      <c r="B44" s="93"/>
      <c r="C44" s="101" t="s">
        <v>156</v>
      </c>
      <c r="D44" s="101" t="s">
        <v>157</v>
      </c>
      <c r="E44" s="78">
        <f t="shared" si="1"/>
        <v>1</v>
      </c>
      <c r="F44" s="98" t="s">
        <v>140</v>
      </c>
      <c r="G44" s="93"/>
      <c r="H44" s="93"/>
      <c r="I44" s="93"/>
      <c r="M44" s="72"/>
      <c r="P44" s="72"/>
      <c r="Q44" s="101" t="s">
        <v>158</v>
      </c>
      <c r="R44" s="78"/>
      <c r="S44" s="78"/>
      <c r="T44" s="93"/>
    </row>
    <row r="45" hidden="1" spans="1:20">
      <c r="A45" s="72" t="s">
        <v>129</v>
      </c>
      <c r="B45" s="93"/>
      <c r="C45" s="78" t="s">
        <v>159</v>
      </c>
      <c r="D45" s="78" t="s">
        <v>160</v>
      </c>
      <c r="E45" s="78">
        <f t="shared" si="1"/>
        <v>1</v>
      </c>
      <c r="F45" s="98" t="s">
        <v>140</v>
      </c>
      <c r="G45" s="93"/>
      <c r="H45" s="93"/>
      <c r="I45" s="93"/>
      <c r="M45" s="72"/>
      <c r="P45" s="72"/>
      <c r="Q45" s="83" t="s">
        <v>161</v>
      </c>
      <c r="R45" s="78"/>
      <c r="S45" s="78"/>
      <c r="T45" s="93"/>
    </row>
    <row r="46" hidden="1" spans="1:20">
      <c r="A46" s="72" t="s">
        <v>129</v>
      </c>
      <c r="B46" s="93"/>
      <c r="C46" s="85" t="s">
        <v>162</v>
      </c>
      <c r="D46" s="85" t="s">
        <v>163</v>
      </c>
      <c r="E46" s="78">
        <f t="shared" si="1"/>
        <v>1</v>
      </c>
      <c r="F46" s="98" t="s">
        <v>140</v>
      </c>
      <c r="G46" s="93"/>
      <c r="H46" s="93"/>
      <c r="I46" s="93"/>
      <c r="M46" s="72"/>
      <c r="P46" s="72"/>
      <c r="Q46" s="83" t="s">
        <v>164</v>
      </c>
      <c r="R46" s="78"/>
      <c r="S46" s="78"/>
      <c r="T46" s="93"/>
    </row>
    <row r="47" hidden="1" spans="1:20">
      <c r="A47" s="72" t="s">
        <v>129</v>
      </c>
      <c r="B47" s="93"/>
      <c r="C47" s="78" t="s">
        <v>61</v>
      </c>
      <c r="D47" s="92" t="s">
        <v>165</v>
      </c>
      <c r="E47" s="78">
        <f t="shared" si="1"/>
        <v>12</v>
      </c>
      <c r="F47" s="98" t="s">
        <v>79</v>
      </c>
      <c r="G47" s="93"/>
      <c r="H47" s="93"/>
      <c r="I47" s="93" t="s">
        <v>65</v>
      </c>
      <c r="J47" s="80"/>
      <c r="K47" s="80"/>
      <c r="L47" s="80"/>
      <c r="M47" s="89">
        <f t="shared" ref="M47:M56" si="2">H47</f>
        <v>0</v>
      </c>
      <c r="N47" s="80"/>
      <c r="O47" s="88" t="str">
        <f>IF(AND(OR(EXACT(F47,"I"),EXACT(F47,"O")),NOT(EXACT(P47,"NA"))),CONCATENATE("c_reg_test_sel_",RIGHT(IF(B47=0,LOOKUP(2,1/($B$2:B47&lt;&gt;0),$B$2:B47),B47),LEN(IF(B47=0,LOOKUP(2,1/($B$2:B47&lt;&gt;0),$B$2:B47),B47))-FIND(".",IF(B47=0,LOOKUP(2,1/($B$2:B47&lt;&gt;0),$B$2:B47),B47))),IF(0,CONCATENATE("&amp; !c_test_reg_pin_disable_",RIGHT(IF(B47=0,LOOKUP(2,1/($B$2:B47&lt;&gt;0),$B$2:B47),B47),LEN(IF(B47=0,LOOKUP(2,1/($B$2:B47&lt;&gt;0),$B$2:B47),B47))-FIND(".",IF(B47=0,LOOKUP(2,1/($B$2:B47&lt;&gt;0),$B$2:B47),B47)))),""),IF(P47,CONCATENATE("_grp_",P47),""),"/","c_pad_",RIGHT(IF(B47=0,LOOKUP(2,1/($B$2:B47&lt;&gt;0),$B$2:B47),B47),LEN(IF(B47=0,LOOKUP(2,1/($B$2:B47&lt;&gt;0),$B$2:B47),B47))-FIND(".",IF(B47=0,LOOKUP(2,1/($B$2:B47&lt;&gt;0),$B$2:B47),B47))),"_",IF(ISNUMBER(SEARCH("[",D47)),LEFT(D47,FIND("[",D47)-1),D47)),"")</f>
        <v>c_reg_test_sel_adc_inst/c_pad_adc_inst_BOUTL</v>
      </c>
      <c r="P47" s="82"/>
      <c r="Q47" s="83" t="s">
        <v>166</v>
      </c>
      <c r="R47" s="91" t="s">
        <v>167</v>
      </c>
      <c r="S47" s="78"/>
      <c r="T47" s="93"/>
    </row>
    <row r="48" hidden="1" spans="1:20">
      <c r="A48" s="72" t="s">
        <v>129</v>
      </c>
      <c r="B48" s="93"/>
      <c r="C48" s="78" t="s">
        <v>61</v>
      </c>
      <c r="D48" s="92" t="s">
        <v>168</v>
      </c>
      <c r="E48" s="78">
        <f t="shared" si="1"/>
        <v>1</v>
      </c>
      <c r="F48" s="98" t="s">
        <v>79</v>
      </c>
      <c r="G48" s="93"/>
      <c r="H48" s="93"/>
      <c r="I48" s="93" t="s">
        <v>65</v>
      </c>
      <c r="J48" s="80"/>
      <c r="K48" s="80"/>
      <c r="L48" s="80"/>
      <c r="M48" s="89">
        <f t="shared" si="2"/>
        <v>0</v>
      </c>
      <c r="N48" s="80"/>
      <c r="O48" s="88" t="str">
        <f>IF(AND(OR(EXACT(F48,"I"),EXACT(F48,"O")),NOT(EXACT(P48,"NA"))),CONCATENATE("c_reg_test_sel_",RIGHT(IF(B48=0,LOOKUP(2,1/($B$2:B48&lt;&gt;0),$B$2:B48),B48),LEN(IF(B48=0,LOOKUP(2,1/($B$2:B48&lt;&gt;0),$B$2:B48),B48))-FIND(".",IF(B48=0,LOOKUP(2,1/($B$2:B48&lt;&gt;0),$B$2:B48),B48))),IF(0,CONCATENATE("&amp; !c_test_reg_pin_disable_",RIGHT(IF(B48=0,LOOKUP(2,1/($B$2:B48&lt;&gt;0),$B$2:B48),B48),LEN(IF(B48=0,LOOKUP(2,1/($B$2:B48&lt;&gt;0),$B$2:B48),B48))-FIND(".",IF(B48=0,LOOKUP(2,1/($B$2:B48&lt;&gt;0),$B$2:B48),B48)))),""),IF(P48,CONCATENATE("_grp_",P48),""),"/","c_pad_",RIGHT(IF(B48=0,LOOKUP(2,1/($B$2:B48&lt;&gt;0),$B$2:B48),B48),LEN(IF(B48=0,LOOKUP(2,1/($B$2:B48&lt;&gt;0),$B$2:B48),B48))-FIND(".",IF(B48=0,LOOKUP(2,1/($B$2:B48&lt;&gt;0),$B$2:B48),B48))),"_",IF(ISNUMBER(SEARCH("[",D48)),LEFT(D48,FIND("[",D48)-1),D48)),"")</f>
        <v>c_reg_test_sel_adc_inst/c_pad_adc_inst_EOCL</v>
      </c>
      <c r="P48" s="82"/>
      <c r="Q48" s="83" t="s">
        <v>169</v>
      </c>
      <c r="R48" s="91" t="s">
        <v>170</v>
      </c>
      <c r="S48" s="78"/>
      <c r="T48" s="93"/>
    </row>
    <row r="49" spans="1:20">
      <c r="A49" s="72" t="s">
        <v>129</v>
      </c>
      <c r="B49" s="93"/>
      <c r="C49" s="94" t="s">
        <v>61</v>
      </c>
      <c r="D49" s="94" t="s">
        <v>171</v>
      </c>
      <c r="E49" s="78">
        <f t="shared" si="1"/>
        <v>1</v>
      </c>
      <c r="F49" s="98" t="s">
        <v>63</v>
      </c>
      <c r="G49" s="93"/>
      <c r="H49" s="93" t="s">
        <v>64</v>
      </c>
      <c r="I49" s="93" t="s">
        <v>65</v>
      </c>
      <c r="J49" s="80"/>
      <c r="K49" s="80"/>
      <c r="L49" s="80"/>
      <c r="M49" s="89" t="str">
        <f t="shared" si="2"/>
        <v>b0</v>
      </c>
      <c r="N49" s="80"/>
      <c r="O49" s="88" t="str">
        <f>IF(AND(OR(EXACT(F49,"I"),EXACT(F49,"O")),NOT(EXACT(P49,"NA"))),CONCATENATE("c_reg_test_sel_",RIGHT(IF(B49=0,LOOKUP(2,1/($B$2:B49&lt;&gt;0),$B$2:B49),B49),LEN(IF(B49=0,LOOKUP(2,1/($B$2:B49&lt;&gt;0),$B$2:B49),B49))-FIND(".",IF(B49=0,LOOKUP(2,1/($B$2:B49&lt;&gt;0),$B$2:B49),B49))),IF(0,CONCATENATE("&amp; !c_test_reg_pin_disable_",RIGHT(IF(B49=0,LOOKUP(2,1/($B$2:B49&lt;&gt;0),$B$2:B49),B49),LEN(IF(B49=0,LOOKUP(2,1/($B$2:B49&lt;&gt;0),$B$2:B49),B49))-FIND(".",IF(B49=0,LOOKUP(2,1/($B$2:B49&lt;&gt;0),$B$2:B49),B49)))),""),IF(P49,CONCATENATE("_grp_",P49),""),"/","c_pad_",RIGHT(IF(B49=0,LOOKUP(2,1/($B$2:B49&lt;&gt;0),$B$2:B49),B49),LEN(IF(B49=0,LOOKUP(2,1/($B$2:B49&lt;&gt;0),$B$2:B49),B49))-FIND(".",IF(B49=0,LOOKUP(2,1/($B$2:B49&lt;&gt;0),$B$2:B49),B49))),"_",IF(ISNUMBER(SEARCH("[",D49)),LEFT(D49,FIND("[",D49)-1),D49)),"")</f>
        <v>c_reg_test_sel_adc_inst/c_pad_adc_inst_Single</v>
      </c>
      <c r="P49" s="82"/>
      <c r="Q49" s="83"/>
      <c r="R49" s="91"/>
      <c r="S49" s="78"/>
      <c r="T49" s="93"/>
    </row>
    <row r="50" spans="1:20">
      <c r="A50" s="72" t="s">
        <v>129</v>
      </c>
      <c r="B50" s="93"/>
      <c r="C50" s="78" t="s">
        <v>61</v>
      </c>
      <c r="D50" s="78" t="s">
        <v>172</v>
      </c>
      <c r="E50" s="78">
        <f t="shared" si="1"/>
        <v>1</v>
      </c>
      <c r="F50" s="98" t="s">
        <v>63</v>
      </c>
      <c r="G50" s="93"/>
      <c r="H50" s="93" t="s">
        <v>64</v>
      </c>
      <c r="I50" s="93" t="s">
        <v>80</v>
      </c>
      <c r="J50" s="80"/>
      <c r="K50" s="80"/>
      <c r="L50" s="80"/>
      <c r="M50" s="89" t="str">
        <f t="shared" si="2"/>
        <v>b0</v>
      </c>
      <c r="N50" s="80"/>
      <c r="O50" s="88" t="str">
        <f>IF(AND(OR(EXACT(F50,"I"),EXACT(F50,"O")),NOT(EXACT(P50,"NA"))),CONCATENATE("c_reg_test_sel_",RIGHT(IF(B50=0,LOOKUP(2,1/($B$2:B50&lt;&gt;0),$B$2:B50),B50),LEN(IF(B50=0,LOOKUP(2,1/($B$2:B50&lt;&gt;0),$B$2:B50),B50))-FIND(".",IF(B50=0,LOOKUP(2,1/($B$2:B50&lt;&gt;0),$B$2:B50),B50))),IF(0,CONCATENATE("&amp; !c_test_reg_pin_disable_",RIGHT(IF(B50=0,LOOKUP(2,1/($B$2:B50&lt;&gt;0),$B$2:B50),B50),LEN(IF(B50=0,LOOKUP(2,1/($B$2:B50&lt;&gt;0),$B$2:B50),B50))-FIND(".",IF(B50=0,LOOKUP(2,1/($B$2:B50&lt;&gt;0),$B$2:B50),B50)))),""),IF(P50,CONCATENATE("_grp_",P50),""),"/","c_pad_",RIGHT(IF(B50=0,LOOKUP(2,1/($B$2:B50&lt;&gt;0),$B$2:B50),B50),LEN(IF(B50=0,LOOKUP(2,1/($B$2:B50&lt;&gt;0),$B$2:B50),B50))-FIND(".",IF(B50=0,LOOKUP(2,1/($B$2:B50&lt;&gt;0),$B$2:B50),B50))),"_",IF(ISNUMBER(SEARCH("[",D50)),LEFT(D50,FIND("[",D50)-1),D50)),"")</f>
        <v>c_reg_test_sel_adc_inst/c_pad_adc_inst_LI_ADC_CLK</v>
      </c>
      <c r="P50" s="82"/>
      <c r="Q50" s="83" t="s">
        <v>173</v>
      </c>
      <c r="R50" s="78"/>
      <c r="S50" s="78"/>
      <c r="T50" s="93"/>
    </row>
    <row r="51" spans="1:20">
      <c r="A51" s="72" t="s">
        <v>129</v>
      </c>
      <c r="B51" s="93"/>
      <c r="C51" s="78" t="s">
        <v>61</v>
      </c>
      <c r="D51" s="78" t="s">
        <v>174</v>
      </c>
      <c r="E51" s="78">
        <f t="shared" si="1"/>
        <v>1</v>
      </c>
      <c r="F51" s="98" t="s">
        <v>63</v>
      </c>
      <c r="G51" s="93"/>
      <c r="H51" s="93" t="s">
        <v>64</v>
      </c>
      <c r="I51" s="93" t="s">
        <v>65</v>
      </c>
      <c r="J51" s="80"/>
      <c r="K51" s="80"/>
      <c r="L51" s="80"/>
      <c r="M51" s="89" t="str">
        <f t="shared" si="2"/>
        <v>b0</v>
      </c>
      <c r="N51" s="80"/>
      <c r="O51" s="88" t="str">
        <f>IF(AND(OR(EXACT(F51,"I"),EXACT(F51,"O")),NOT(EXACT(P51,"NA"))),CONCATENATE("c_reg_test_sel_",RIGHT(IF(B51=0,LOOKUP(2,1/($B$2:B51&lt;&gt;0),$B$2:B51),B51),LEN(IF(B51=0,LOOKUP(2,1/($B$2:B51&lt;&gt;0),$B$2:B51),B51))-FIND(".",IF(B51=0,LOOKUP(2,1/($B$2:B51&lt;&gt;0),$B$2:B51),B51))),IF(0,CONCATENATE("&amp; !c_test_reg_pin_disable_",RIGHT(IF(B51=0,LOOKUP(2,1/($B$2:B51&lt;&gt;0),$B$2:B51),B51),LEN(IF(B51=0,LOOKUP(2,1/($B$2:B51&lt;&gt;0),$B$2:B51),B51))-FIND(".",IF(B51=0,LOOKUP(2,1/($B$2:B51&lt;&gt;0),$B$2:B51),B51)))),""),IF(P51,CONCATENATE("_grp_",P51),""),"/","c_pad_",RIGHT(IF(B51=0,LOOKUP(2,1/($B$2:B51&lt;&gt;0),$B$2:B51),B51),LEN(IF(B51=0,LOOKUP(2,1/($B$2:B51&lt;&gt;0),$B$2:B51),B51))-FIND(".",IF(B51=0,LOOKUP(2,1/($B$2:B51&lt;&gt;0),$B$2:B51),B51))),"_",IF(ISNUMBER(SEARCH("[",D51)),LEFT(D51,FIND("[",D51)-1),D51)),"")</f>
        <v>c_reg_test_sel_adc_inst/c_pad_adc_inst_LI_ADC_EN</v>
      </c>
      <c r="P51" s="82"/>
      <c r="Q51" s="83" t="s">
        <v>175</v>
      </c>
      <c r="R51" s="78" t="s">
        <v>176</v>
      </c>
      <c r="S51" s="78" t="s">
        <v>177</v>
      </c>
      <c r="T51" s="93"/>
    </row>
    <row r="52" spans="1:20">
      <c r="A52" s="72" t="s">
        <v>129</v>
      </c>
      <c r="B52" s="93"/>
      <c r="C52" s="78" t="s">
        <v>61</v>
      </c>
      <c r="D52" s="78" t="s">
        <v>178</v>
      </c>
      <c r="E52" s="78">
        <f t="shared" si="1"/>
        <v>1</v>
      </c>
      <c r="F52" s="98" t="s">
        <v>63</v>
      </c>
      <c r="G52" s="93"/>
      <c r="H52" s="93" t="s">
        <v>64</v>
      </c>
      <c r="I52" s="93" t="s">
        <v>65</v>
      </c>
      <c r="J52" s="80"/>
      <c r="K52" s="80"/>
      <c r="L52" s="80"/>
      <c r="M52" s="89" t="str">
        <f t="shared" si="2"/>
        <v>b0</v>
      </c>
      <c r="N52" s="80"/>
      <c r="O52" s="88" t="str">
        <f>IF(AND(OR(EXACT(F52,"I"),EXACT(F52,"O")),NOT(EXACT(P52,"NA"))),CONCATENATE("c_reg_test_sel_",RIGHT(IF(B52=0,LOOKUP(2,1/($B$2:B52&lt;&gt;0),$B$2:B52),B52),LEN(IF(B52=0,LOOKUP(2,1/($B$2:B52&lt;&gt;0),$B$2:B52),B52))-FIND(".",IF(B52=0,LOOKUP(2,1/($B$2:B52&lt;&gt;0),$B$2:B52),B52))),IF(0,CONCATENATE("&amp; !c_test_reg_pin_disable_",RIGHT(IF(B52=0,LOOKUP(2,1/($B$2:B52&lt;&gt;0),$B$2:B52),B52),LEN(IF(B52=0,LOOKUP(2,1/($B$2:B52&lt;&gt;0),$B$2:B52),B52))-FIND(".",IF(B52=0,LOOKUP(2,1/($B$2:B52&lt;&gt;0),$B$2:B52),B52)))),""),IF(P52,CONCATENATE("_grp_",P52),""),"/","c_pad_",RIGHT(IF(B52=0,LOOKUP(2,1/($B$2:B52&lt;&gt;0),$B$2:B52),B52),LEN(IF(B52=0,LOOKUP(2,1/($B$2:B52&lt;&gt;0),$B$2:B52),B52))-FIND(".",IF(B52=0,LOOKUP(2,1/($B$2:B52&lt;&gt;0),$B$2:B52),B52))),"_",IF(ISNUMBER(SEARCH("[",D52)),LEFT(D52,FIND("[",D52)-1),D52)),"")</f>
        <v>c_reg_test_sel_adc_inst/c_pad_adc_inst_LI_ADC_SOC</v>
      </c>
      <c r="P52" s="82"/>
      <c r="Q52" s="83" t="s">
        <v>179</v>
      </c>
      <c r="R52" s="78" t="s">
        <v>176</v>
      </c>
      <c r="S52" s="78" t="s">
        <v>180</v>
      </c>
      <c r="T52" s="93"/>
    </row>
    <row r="53" spans="1:20">
      <c r="A53" s="72" t="s">
        <v>129</v>
      </c>
      <c r="B53" s="93"/>
      <c r="C53" s="78" t="s">
        <v>61</v>
      </c>
      <c r="D53" s="78" t="s">
        <v>181</v>
      </c>
      <c r="E53" s="78">
        <f t="shared" si="1"/>
        <v>4</v>
      </c>
      <c r="F53" s="98" t="s">
        <v>63</v>
      </c>
      <c r="G53" s="93"/>
      <c r="H53" s="93" t="s">
        <v>94</v>
      </c>
      <c r="I53" s="93" t="s">
        <v>65</v>
      </c>
      <c r="J53" s="80"/>
      <c r="K53" s="80"/>
      <c r="L53" s="80"/>
      <c r="M53" s="89" t="str">
        <f t="shared" si="2"/>
        <v>b0000</v>
      </c>
      <c r="N53" s="80"/>
      <c r="O53" s="88" t="str">
        <f>IF(AND(OR(EXACT(F53,"I"),EXACT(F53,"O")),NOT(EXACT(P53,"NA"))),CONCATENATE("c_reg_test_sel_",RIGHT(IF(B53=0,LOOKUP(2,1/($B$2:B53&lt;&gt;0),$B$2:B53),B53),LEN(IF(B53=0,LOOKUP(2,1/($B$2:B53&lt;&gt;0),$B$2:B53),B53))-FIND(".",IF(B53=0,LOOKUP(2,1/($B$2:B53&lt;&gt;0),$B$2:B53),B53))),IF(0,CONCATENATE("&amp; !c_test_reg_pin_disable_",RIGHT(IF(B53=0,LOOKUP(2,1/($B$2:B53&lt;&gt;0),$B$2:B53),B53),LEN(IF(B53=0,LOOKUP(2,1/($B$2:B53&lt;&gt;0),$B$2:B53),B53))-FIND(".",IF(B53=0,LOOKUP(2,1/($B$2:B53&lt;&gt;0),$B$2:B53),B53)))),""),IF(P53,CONCATENATE("_grp_",P53),""),"/","c_pad_",RIGHT(IF(B53=0,LOOKUP(2,1/($B$2:B53&lt;&gt;0),$B$2:B53),B53),LEN(IF(B53=0,LOOKUP(2,1/($B$2:B53&lt;&gt;0),$B$2:B53),B53))-FIND(".",IF(B53=0,LOOKUP(2,1/($B$2:B53&lt;&gt;0),$B$2:B53),B53))),"_",IF(ISNUMBER(SEARCH("[",D53)),LEFT(D53,FIND("[",D53)-1),D53)),"")</f>
        <v>c_reg_test_sel_adc_inst/c_pad_adc_inst_LI_ADC_VINSEL</v>
      </c>
      <c r="P53" s="82"/>
      <c r="Q53" s="83" t="s">
        <v>182</v>
      </c>
      <c r="R53" s="78" t="s">
        <v>183</v>
      </c>
      <c r="S53" s="78" t="s">
        <v>184</v>
      </c>
      <c r="T53" s="93"/>
    </row>
    <row r="54" spans="1:20">
      <c r="A54" s="72" t="s">
        <v>129</v>
      </c>
      <c r="B54" s="93"/>
      <c r="C54" s="78" t="s">
        <v>61</v>
      </c>
      <c r="D54" s="78" t="s">
        <v>185</v>
      </c>
      <c r="E54" s="78">
        <f t="shared" si="1"/>
        <v>1</v>
      </c>
      <c r="F54" s="98" t="s">
        <v>63</v>
      </c>
      <c r="G54" s="93"/>
      <c r="H54" s="93" t="s">
        <v>64</v>
      </c>
      <c r="I54" s="93" t="s">
        <v>65</v>
      </c>
      <c r="J54" s="80"/>
      <c r="K54" s="80"/>
      <c r="L54" s="80"/>
      <c r="M54" s="89" t="str">
        <f t="shared" si="2"/>
        <v>b0</v>
      </c>
      <c r="N54" s="80"/>
      <c r="O54" s="88" t="str">
        <f>IF(AND(OR(EXACT(F54,"I"),EXACT(F54,"O")),NOT(EXACT(P54,"NA"))),CONCATENATE("c_reg_test_sel_",RIGHT(IF(B54=0,LOOKUP(2,1/($B$2:B54&lt;&gt;0),$B$2:B54),B54),LEN(IF(B54=0,LOOKUP(2,1/($B$2:B54&lt;&gt;0),$B$2:B54),B54))-FIND(".",IF(B54=0,LOOKUP(2,1/($B$2:B54&lt;&gt;0),$B$2:B54),B54))),IF(0,CONCATENATE("&amp; !c_test_reg_pin_disable_",RIGHT(IF(B54=0,LOOKUP(2,1/($B$2:B54&lt;&gt;0),$B$2:B54),B54),LEN(IF(B54=0,LOOKUP(2,1/($B$2:B54&lt;&gt;0),$B$2:B54),B54))-FIND(".",IF(B54=0,LOOKUP(2,1/($B$2:B54&lt;&gt;0),$B$2:B54),B54)))),""),IF(P54,CONCATENATE("_grp_",P54),""),"/","c_pad_",RIGHT(IF(B54=0,LOOKUP(2,1/($B$2:B54&lt;&gt;0),$B$2:B54),B54),LEN(IF(B54=0,LOOKUP(2,1/($B$2:B54&lt;&gt;0),$B$2:B54),B54))-FIND(".",IF(B54=0,LOOKUP(2,1/($B$2:B54&lt;&gt;0),$B$2:B54),B54))),"_",IF(ISNUMBER(SEARCH("[",D54)),LEFT(D54,FIND("[",D54)-1),D54)),"")</f>
        <v>c_reg_test_sel_adc_inst/c_pad_adc_inst_LI_ADC_SAMPT</v>
      </c>
      <c r="P54" s="82"/>
      <c r="Q54" s="83" t="s">
        <v>186</v>
      </c>
      <c r="R54" s="78" t="s">
        <v>187</v>
      </c>
      <c r="S54" s="78" t="s">
        <v>177</v>
      </c>
      <c r="T54" s="93"/>
    </row>
    <row r="55" spans="1:20">
      <c r="A55" s="72" t="s">
        <v>129</v>
      </c>
      <c r="B55" s="93"/>
      <c r="C55" s="78" t="s">
        <v>61</v>
      </c>
      <c r="D55" s="78" t="s">
        <v>188</v>
      </c>
      <c r="E55" s="78">
        <f t="shared" si="1"/>
        <v>2</v>
      </c>
      <c r="F55" s="98" t="s">
        <v>63</v>
      </c>
      <c r="G55" s="93"/>
      <c r="H55" s="93" t="s">
        <v>189</v>
      </c>
      <c r="I55" s="93" t="s">
        <v>65</v>
      </c>
      <c r="J55" s="80"/>
      <c r="K55" s="80"/>
      <c r="L55" s="80"/>
      <c r="M55" s="89" t="str">
        <f t="shared" si="2"/>
        <v>b11</v>
      </c>
      <c r="N55" s="80"/>
      <c r="O55" s="88" t="str">
        <f>IF(AND(OR(EXACT(F55,"I"),EXACT(F55,"O")),NOT(EXACT(P55,"NA"))),CONCATENATE("c_reg_test_sel_",RIGHT(IF(B55=0,LOOKUP(2,1/($B$2:B55&lt;&gt;0),$B$2:B55),B55),LEN(IF(B55=0,LOOKUP(2,1/($B$2:B55&lt;&gt;0),$B$2:B55),B55))-FIND(".",IF(B55=0,LOOKUP(2,1/($B$2:B55&lt;&gt;0),$B$2:B55),B55))),IF(0,CONCATENATE("&amp; !c_test_reg_pin_disable_",RIGHT(IF(B55=0,LOOKUP(2,1/($B$2:B55&lt;&gt;0),$B$2:B55),B55),LEN(IF(B55=0,LOOKUP(2,1/($B$2:B55&lt;&gt;0),$B$2:B55),B55))-FIND(".",IF(B55=0,LOOKUP(2,1/($B$2:B55&lt;&gt;0),$B$2:B55),B55)))),""),IF(P55,CONCATENATE("_grp_",P55),""),"/","c_pad_",RIGHT(IF(B55=0,LOOKUP(2,1/($B$2:B55&lt;&gt;0),$B$2:B55),B55),LEN(IF(B55=0,LOOKUP(2,1/($B$2:B55&lt;&gt;0),$B$2:B55),B55))-FIND(".",IF(B55=0,LOOKUP(2,1/($B$2:B55&lt;&gt;0),$B$2:B55),B55))),"_",IF(ISNUMBER(SEARCH("[",D55)),LEFT(D55,FIND("[",D55)-1),D55)),"")</f>
        <v>c_reg_test_sel_adc_inst/c_pad_adc_inst_LI_ADC_VREFSEL</v>
      </c>
      <c r="P55" s="82"/>
      <c r="Q55" s="83" t="s">
        <v>190</v>
      </c>
      <c r="R55" s="78" t="s">
        <v>191</v>
      </c>
      <c r="S55" s="78" t="s">
        <v>192</v>
      </c>
      <c r="T55" s="93"/>
    </row>
    <row r="56" spans="1:20">
      <c r="A56" s="72" t="s">
        <v>129</v>
      </c>
      <c r="B56" s="93"/>
      <c r="C56" s="78" t="s">
        <v>61</v>
      </c>
      <c r="D56" s="78" t="s">
        <v>193</v>
      </c>
      <c r="E56" s="78">
        <f t="shared" si="1"/>
        <v>4</v>
      </c>
      <c r="F56" s="98" t="s">
        <v>63</v>
      </c>
      <c r="G56" s="93"/>
      <c r="H56" s="93" t="s">
        <v>194</v>
      </c>
      <c r="I56" s="93" t="s">
        <v>65</v>
      </c>
      <c r="J56" s="80"/>
      <c r="K56" s="80"/>
      <c r="L56" s="80"/>
      <c r="M56" s="89" t="str">
        <f t="shared" si="2"/>
        <v>b1000</v>
      </c>
      <c r="N56" s="80"/>
      <c r="O56" s="88" t="str">
        <f>IF(AND(OR(EXACT(F56,"I"),EXACT(F56,"O")),NOT(EXACT(P56,"NA"))),CONCATENATE("c_reg_test_sel_",RIGHT(IF(B56=0,LOOKUP(2,1/($B$2:B56&lt;&gt;0),$B$2:B56),B56),LEN(IF(B56=0,LOOKUP(2,1/($B$2:B56&lt;&gt;0),$B$2:B56),B56))-FIND(".",IF(B56=0,LOOKUP(2,1/($B$2:B56&lt;&gt;0),$B$2:B56),B56))),IF(0,CONCATENATE("&amp; !c_test_reg_pin_disable_",RIGHT(IF(B56=0,LOOKUP(2,1/($B$2:B56&lt;&gt;0),$B$2:B56),B56),LEN(IF(B56=0,LOOKUP(2,1/($B$2:B56&lt;&gt;0),$B$2:B56),B56))-FIND(".",IF(B56=0,LOOKUP(2,1/($B$2:B56&lt;&gt;0),$B$2:B56),B56)))),""),IF(P56,CONCATENATE("_grp_",P56),""),"/","c_pad_",RIGHT(IF(B56=0,LOOKUP(2,1/($B$2:B56&lt;&gt;0),$B$2:B56),B56),LEN(IF(B56=0,LOOKUP(2,1/($B$2:B56&lt;&gt;0),$B$2:B56),B56))-FIND(".",IF(B56=0,LOOKUP(2,1/($B$2:B56&lt;&gt;0),$B$2:B56),B56))),"_",IF(ISNUMBER(SEARCH("[",D56)),LEFT(D56,FIND("[",D56)-1),D56)),"")</f>
        <v>c_reg_test_sel_adc_inst/c_pad_adc_inst_LI_ADC_VREFTRIM</v>
      </c>
      <c r="P56" s="82"/>
      <c r="Q56" s="83" t="s">
        <v>195</v>
      </c>
      <c r="R56" s="78" t="s">
        <v>196</v>
      </c>
      <c r="S56" s="78" t="s">
        <v>184</v>
      </c>
      <c r="T56" s="93"/>
    </row>
    <row r="57" customFormat="1" ht="28.95" hidden="1" customHeight="1" spans="1:20">
      <c r="A57" s="72" t="s">
        <v>197</v>
      </c>
      <c r="B57" s="93" t="s">
        <v>197</v>
      </c>
      <c r="C57" s="78" t="s">
        <v>50</v>
      </c>
      <c r="D57" s="78" t="s">
        <v>198</v>
      </c>
      <c r="E57" s="78">
        <f t="shared" si="1"/>
        <v>1</v>
      </c>
      <c r="F57" s="98" t="s">
        <v>52</v>
      </c>
      <c r="G57" s="93" t="s">
        <v>130</v>
      </c>
      <c r="H57" s="83"/>
      <c r="I57" s="102"/>
      <c r="Q57" s="102"/>
      <c r="R57" s="78"/>
      <c r="S57" s="78"/>
      <c r="T57" s="83"/>
    </row>
    <row r="58" customFormat="1" ht="28.95" hidden="1" customHeight="1" spans="1:20">
      <c r="A58" s="72" t="s">
        <v>197</v>
      </c>
      <c r="B58" s="93"/>
      <c r="C58" s="78" t="s">
        <v>199</v>
      </c>
      <c r="D58" s="78" t="s">
        <v>200</v>
      </c>
      <c r="E58" s="78">
        <f>IF(AND(ISNUMBER(FIND("[",D59)),ISNUMBER(FIND("]",D59)),ISNUMBER(FIND(":",D59))),MID(D59,FIND("[",D59)+1,FIND(":",D59)-FIND("[",D59)-1)+1-MID(D59,FIND(":",D59)+1,FIND("]",D59)-FIND(":",D59)-1),IF(OR(ISNUMBER(FIND("[",D59)),ISNUMBER(FIND("]",D59)),ISNUMBER(FIND(":",D59))),"ERROR",1))</f>
        <v>1</v>
      </c>
      <c r="F58" s="98" t="s">
        <v>52</v>
      </c>
      <c r="G58" s="93" t="s">
        <v>135</v>
      </c>
      <c r="H58" s="83"/>
      <c r="I58" s="83"/>
      <c r="Q58" s="83" t="s">
        <v>201</v>
      </c>
      <c r="R58" s="78"/>
      <c r="S58" s="78"/>
      <c r="T58" s="83"/>
    </row>
    <row r="59" customFormat="1" ht="28.95" hidden="1" customHeight="1" spans="1:20">
      <c r="A59" s="72" t="s">
        <v>197</v>
      </c>
      <c r="B59" s="93"/>
      <c r="C59" s="78" t="s">
        <v>202</v>
      </c>
      <c r="D59" s="78" t="s">
        <v>203</v>
      </c>
      <c r="E59" s="78">
        <f>IF(AND(ISNUMBER(FIND("[",D58)),ISNUMBER(FIND("]",D58)),ISNUMBER(FIND(":",D58))),MID(D58,FIND("[",D58)+1,FIND(":",D58)-FIND("[",D58)-1)+1-MID(D58,FIND(":",D58)+1,FIND("]",D58)-FIND(":",D58)-1),IF(OR(ISNUMBER(FIND("[",D58)),ISNUMBER(FIND("]",D58)),ISNUMBER(FIND(":",D58))),"ERROR",1))</f>
        <v>1</v>
      </c>
      <c r="F59" s="98" t="s">
        <v>52</v>
      </c>
      <c r="G59" s="93" t="s">
        <v>135</v>
      </c>
      <c r="H59" s="83"/>
      <c r="I59" s="83"/>
      <c r="Q59" s="83" t="s">
        <v>204</v>
      </c>
      <c r="R59" s="78"/>
      <c r="S59" s="78"/>
      <c r="T59" s="83"/>
    </row>
    <row r="60" customFormat="1" ht="28.95" hidden="1" customHeight="1" spans="1:20">
      <c r="A60" s="72" t="s">
        <v>197</v>
      </c>
      <c r="B60" s="93"/>
      <c r="C60" s="78" t="s">
        <v>53</v>
      </c>
      <c r="D60" s="78" t="s">
        <v>205</v>
      </c>
      <c r="E60" s="78">
        <f t="shared" ref="E60:E91" si="3">IF(AND(ISNUMBER(FIND("[",D60)),ISNUMBER(FIND("]",D60)),ISNUMBER(FIND(":",D60))),MID(D60,FIND("[",D60)+1,FIND(":",D60)-FIND("[",D60)-1)+1-MID(D60,FIND(":",D60)+1,FIND("]",D60)-FIND(":",D60)-1),IF(OR(ISNUMBER(FIND("[",D60)),ISNUMBER(FIND("]",D60)),ISNUMBER(FIND(":",D60))),"ERROR",1))</f>
        <v>1</v>
      </c>
      <c r="F60" s="98" t="s">
        <v>55</v>
      </c>
      <c r="G60" s="83"/>
      <c r="H60" s="83"/>
      <c r="I60" s="83"/>
      <c r="Q60" s="83"/>
      <c r="R60" s="78"/>
      <c r="S60" s="78"/>
      <c r="T60" s="83"/>
    </row>
    <row r="61" customFormat="1" ht="28.95" hidden="1" customHeight="1" spans="1:20">
      <c r="A61" s="72" t="s">
        <v>197</v>
      </c>
      <c r="B61" s="93"/>
      <c r="C61" s="78" t="s">
        <v>56</v>
      </c>
      <c r="D61" s="78" t="s">
        <v>206</v>
      </c>
      <c r="E61" s="78">
        <f t="shared" si="3"/>
        <v>1</v>
      </c>
      <c r="F61" s="98" t="s">
        <v>55</v>
      </c>
      <c r="G61" s="93" t="s">
        <v>135</v>
      </c>
      <c r="H61" s="83"/>
      <c r="I61" s="83"/>
      <c r="Q61" s="83"/>
      <c r="R61" s="78"/>
      <c r="S61" s="78"/>
      <c r="T61" s="83"/>
    </row>
    <row r="62" customFormat="1" ht="43.2" customHeight="1" spans="1:20">
      <c r="A62" s="72" t="s">
        <v>197</v>
      </c>
      <c r="B62" s="93"/>
      <c r="C62" s="78" t="s">
        <v>61</v>
      </c>
      <c r="D62" s="78" t="s">
        <v>207</v>
      </c>
      <c r="E62" s="78">
        <f t="shared" si="3"/>
        <v>1</v>
      </c>
      <c r="F62" s="98" t="s">
        <v>63</v>
      </c>
      <c r="G62" s="93" t="s">
        <v>135</v>
      </c>
      <c r="H62" s="83" t="s">
        <v>64</v>
      </c>
      <c r="I62" s="93" t="s">
        <v>65</v>
      </c>
      <c r="J62" s="103"/>
      <c r="K62" s="103"/>
      <c r="L62" s="103"/>
      <c r="M62" s="89" t="str">
        <f t="shared" ref="M62:M67" si="4">H62</f>
        <v>b0</v>
      </c>
      <c r="N62" s="103"/>
      <c r="O62" s="88" t="str">
        <f>IF(AND(OR(EXACT(F62,"I"),EXACT(F62,"O")),NOT(EXACT(P62,"NA"))),CONCATENATE("c_reg_test_sel_",RIGHT(IF(B62=0,LOOKUP(2,1/($B$2:B62&lt;&gt;0),$B$2:B62),B62),LEN(IF(B62=0,LOOKUP(2,1/($B$2:B62&lt;&gt;0),$B$2:B62),B62))-FIND(".",IF(B62=0,LOOKUP(2,1/($B$2:B62&lt;&gt;0),$B$2:B62),B62))),IF(0,CONCATENATE("&amp; !c_test_reg_pin_disable_",RIGHT(IF(B62=0,LOOKUP(2,1/($B$2:B62&lt;&gt;0),$B$2:B62),B62),LEN(IF(B62=0,LOOKUP(2,1/($B$2:B62&lt;&gt;0),$B$2:B62),B62))-FIND(".",IF(B62=0,LOOKUP(2,1/($B$2:B62&lt;&gt;0),$B$2:B62),B62)))),""),IF(P62,CONCATENATE("_grp_",P62),""),"/","c_pad_",RIGHT(IF(B62=0,LOOKUP(2,1/($B$2:B62&lt;&gt;0),$B$2:B62),B62),LEN(IF(B62=0,LOOKUP(2,1/($B$2:B62&lt;&gt;0),$B$2:B62),B62))-FIND(".",IF(B62=0,LOOKUP(2,1/($B$2:B62&lt;&gt;0),$B$2:B62),B62))),"_",IF(ISNUMBER(SEARCH("[",D62)),LEFT(D62,FIND("[",D62)-1),D62)),"")</f>
        <v>c_reg_test_sel_osc32m_inst/c_pad_osc32m_inst_EN</v>
      </c>
      <c r="P62" s="9"/>
      <c r="Q62" s="83" t="s">
        <v>208</v>
      </c>
      <c r="R62" s="78" t="s">
        <v>209</v>
      </c>
      <c r="S62" s="78" t="s">
        <v>177</v>
      </c>
      <c r="T62" s="83"/>
    </row>
    <row r="63" customFormat="1" ht="43.2" customHeight="1" spans="1:20">
      <c r="A63" s="72" t="s">
        <v>197</v>
      </c>
      <c r="B63" s="93"/>
      <c r="C63" s="78" t="s">
        <v>61</v>
      </c>
      <c r="D63" s="78" t="s">
        <v>210</v>
      </c>
      <c r="E63" s="78">
        <f t="shared" si="3"/>
        <v>6</v>
      </c>
      <c r="F63" s="98" t="s">
        <v>63</v>
      </c>
      <c r="G63" s="93" t="s">
        <v>135</v>
      </c>
      <c r="H63" s="104" t="s">
        <v>211</v>
      </c>
      <c r="I63" s="93" t="s">
        <v>65</v>
      </c>
      <c r="J63" s="103"/>
      <c r="K63" s="103"/>
      <c r="L63" s="103"/>
      <c r="M63" s="89" t="str">
        <f t="shared" si="4"/>
        <v>b011110</v>
      </c>
      <c r="N63" s="103"/>
      <c r="O63" s="88" t="str">
        <f>IF(AND(OR(EXACT(F63,"I"),EXACT(F63,"O")),NOT(EXACT(P63,"NA"))),CONCATENATE("c_reg_test_sel_",RIGHT(IF(B63=0,LOOKUP(2,1/($B$2:B63&lt;&gt;0),$B$2:B63),B63),LEN(IF(B63=0,LOOKUP(2,1/($B$2:B63&lt;&gt;0),$B$2:B63),B63))-FIND(".",IF(B63=0,LOOKUP(2,1/($B$2:B63&lt;&gt;0),$B$2:B63),B63))),IF(0,CONCATENATE("&amp; !c_test_reg_pin_disable_",RIGHT(IF(B63=0,LOOKUP(2,1/($B$2:B63&lt;&gt;0),$B$2:B63),B63),LEN(IF(B63=0,LOOKUP(2,1/($B$2:B63&lt;&gt;0),$B$2:B63),B63))-FIND(".",IF(B63=0,LOOKUP(2,1/($B$2:B63&lt;&gt;0),$B$2:B63),B63)))),""),IF(P63,CONCATENATE("_grp_",P63),""),"/","c_pad_",RIGHT(IF(B63=0,LOOKUP(2,1/($B$2:B63&lt;&gt;0),$B$2:B63),B63),LEN(IF(B63=0,LOOKUP(2,1/($B$2:B63&lt;&gt;0),$B$2:B63),B63))-FIND(".",IF(B63=0,LOOKUP(2,1/($B$2:B63&lt;&gt;0),$B$2:B63),B63))),"_",IF(ISNUMBER(SEARCH("[",D63)),LEFT(D63,FIND("[",D63)-1),D63)),"")</f>
        <v>c_reg_test_sel_osc32m_inst/c_pad_osc32m_inst_CTUNE</v>
      </c>
      <c r="P63" s="9"/>
      <c r="Q63" s="83" t="s">
        <v>212</v>
      </c>
      <c r="R63" s="78" t="s">
        <v>213</v>
      </c>
      <c r="S63" s="78" t="s">
        <v>214</v>
      </c>
      <c r="T63" s="83"/>
    </row>
    <row r="64" customFormat="1" ht="43.2" customHeight="1" spans="1:20">
      <c r="A64" s="72" t="s">
        <v>197</v>
      </c>
      <c r="B64" s="93"/>
      <c r="C64" s="78" t="s">
        <v>61</v>
      </c>
      <c r="D64" s="78" t="s">
        <v>215</v>
      </c>
      <c r="E64" s="78">
        <f t="shared" si="3"/>
        <v>5</v>
      </c>
      <c r="F64" s="98" t="s">
        <v>63</v>
      </c>
      <c r="G64" s="93" t="s">
        <v>135</v>
      </c>
      <c r="H64" s="83" t="s">
        <v>216</v>
      </c>
      <c r="I64" s="93" t="s">
        <v>65</v>
      </c>
      <c r="J64" s="103"/>
      <c r="K64" s="103"/>
      <c r="L64" s="103"/>
      <c r="M64" s="89" t="str">
        <f t="shared" si="4"/>
        <v>b10000</v>
      </c>
      <c r="N64" s="103"/>
      <c r="O64" s="88" t="str">
        <f>IF(AND(OR(EXACT(F64,"I"),EXACT(F64,"O")),NOT(EXACT(P64,"NA"))),CONCATENATE("c_reg_test_sel_",RIGHT(IF(B64=0,LOOKUP(2,1/($B$2:B64&lt;&gt;0),$B$2:B64),B64),LEN(IF(B64=0,LOOKUP(2,1/($B$2:B64&lt;&gt;0),$B$2:B64),B64))-FIND(".",IF(B64=0,LOOKUP(2,1/($B$2:B64&lt;&gt;0),$B$2:B64),B64))),IF(0,CONCATENATE("&amp; !c_test_reg_pin_disable_",RIGHT(IF(B64=0,LOOKUP(2,1/($B$2:B64&lt;&gt;0),$B$2:B64),B64),LEN(IF(B64=0,LOOKUP(2,1/($B$2:B64&lt;&gt;0),$B$2:B64),B64))-FIND(".",IF(B64=0,LOOKUP(2,1/($B$2:B64&lt;&gt;0),$B$2:B64),B64)))),""),IF(P64,CONCATENATE("_grp_",P64),""),"/","c_pad_",RIGHT(IF(B64=0,LOOKUP(2,1/($B$2:B64&lt;&gt;0),$B$2:B64),B64),LEN(IF(B64=0,LOOKUP(2,1/($B$2:B64&lt;&gt;0),$B$2:B64),B64))-FIND(".",IF(B64=0,LOOKUP(2,1/($B$2:B64&lt;&gt;0),$B$2:B64),B64))),"_",IF(ISNUMBER(SEARCH("[",D64)),LEFT(D64,FIND("[",D64)-1),D64)),"")</f>
        <v>c_reg_test_sel_osc32m_inst/c_pad_osc32m_inst_FTUNE</v>
      </c>
      <c r="P64" s="9"/>
      <c r="Q64" s="83" t="s">
        <v>217</v>
      </c>
      <c r="R64" s="78" t="s">
        <v>218</v>
      </c>
      <c r="S64" s="78" t="s">
        <v>219</v>
      </c>
      <c r="T64" s="83"/>
    </row>
    <row r="65" customFormat="1" ht="43.2" customHeight="1" spans="1:20">
      <c r="A65" s="72" t="s">
        <v>197</v>
      </c>
      <c r="B65" s="93"/>
      <c r="C65" s="78" t="s">
        <v>61</v>
      </c>
      <c r="D65" s="78" t="s">
        <v>220</v>
      </c>
      <c r="E65" s="78">
        <f t="shared" si="3"/>
        <v>2</v>
      </c>
      <c r="F65" s="98" t="s">
        <v>63</v>
      </c>
      <c r="G65" s="93" t="s">
        <v>135</v>
      </c>
      <c r="H65" s="83" t="s">
        <v>221</v>
      </c>
      <c r="I65" s="93" t="s">
        <v>65</v>
      </c>
      <c r="J65" s="103"/>
      <c r="K65" s="103"/>
      <c r="L65" s="103"/>
      <c r="M65" s="89" t="str">
        <f t="shared" si="4"/>
        <v>b10</v>
      </c>
      <c r="N65" s="103"/>
      <c r="O65" s="88" t="str">
        <f>IF(AND(OR(EXACT(F65,"I"),EXACT(F65,"O")),NOT(EXACT(P65,"NA"))),CONCATENATE("c_reg_test_sel_",RIGHT(IF(B65=0,LOOKUP(2,1/($B$2:B65&lt;&gt;0),$B$2:B65),B65),LEN(IF(B65=0,LOOKUP(2,1/($B$2:B65&lt;&gt;0),$B$2:B65),B65))-FIND(".",IF(B65=0,LOOKUP(2,1/($B$2:B65&lt;&gt;0),$B$2:B65),B65))),IF(0,CONCATENATE("&amp; !c_test_reg_pin_disable_",RIGHT(IF(B65=0,LOOKUP(2,1/($B$2:B65&lt;&gt;0),$B$2:B65),B65),LEN(IF(B65=0,LOOKUP(2,1/($B$2:B65&lt;&gt;0),$B$2:B65),B65))-FIND(".",IF(B65=0,LOOKUP(2,1/($B$2:B65&lt;&gt;0),$B$2:B65),B65)))),""),IF(P65,CONCATENATE("_grp_",P65),""),"/","c_pad_",RIGHT(IF(B65=0,LOOKUP(2,1/($B$2:B65&lt;&gt;0),$B$2:B65),B65),LEN(IF(B65=0,LOOKUP(2,1/($B$2:B65&lt;&gt;0),$B$2:B65),B65))-FIND(".",IF(B65=0,LOOKUP(2,1/($B$2:B65&lt;&gt;0),$B$2:B65),B65))),"_",IF(ISNUMBER(SEARCH("[",D65)),LEFT(D65,FIND("[",D65)-1),D65)),"")</f>
        <v>c_reg_test_sel_osc32m_inst/c_pad_osc32m_inst_REG_IOP_SEL</v>
      </c>
      <c r="P65" s="9"/>
      <c r="Q65" s="83" t="s">
        <v>222</v>
      </c>
      <c r="R65" s="78" t="s">
        <v>223</v>
      </c>
      <c r="S65" s="78" t="s">
        <v>192</v>
      </c>
      <c r="T65" s="83"/>
    </row>
    <row r="66" customFormat="1" ht="43.2" customHeight="1" spans="1:20">
      <c r="A66" s="72" t="s">
        <v>197</v>
      </c>
      <c r="B66" s="93"/>
      <c r="C66" s="78" t="s">
        <v>61</v>
      </c>
      <c r="D66" s="78" t="s">
        <v>224</v>
      </c>
      <c r="E66" s="78">
        <f t="shared" si="3"/>
        <v>3</v>
      </c>
      <c r="F66" s="98" t="s">
        <v>63</v>
      </c>
      <c r="G66" s="93" t="s">
        <v>135</v>
      </c>
      <c r="H66" s="104" t="s">
        <v>225</v>
      </c>
      <c r="I66" s="93" t="s">
        <v>65</v>
      </c>
      <c r="J66" s="103"/>
      <c r="K66" s="103"/>
      <c r="L66" s="103"/>
      <c r="M66" s="89" t="str">
        <f t="shared" si="4"/>
        <v>b011</v>
      </c>
      <c r="N66" s="103"/>
      <c r="O66" s="88" t="str">
        <f>IF(AND(OR(EXACT(F66,"I"),EXACT(F66,"O")),NOT(EXACT(P66,"NA"))),CONCATENATE("c_reg_test_sel_",RIGHT(IF(B66=0,LOOKUP(2,1/($B$2:B66&lt;&gt;0),$B$2:B66),B66),LEN(IF(B66=0,LOOKUP(2,1/($B$2:B66&lt;&gt;0),$B$2:B66),B66))-FIND(".",IF(B66=0,LOOKUP(2,1/($B$2:B66&lt;&gt;0),$B$2:B66),B66))),IF(0,CONCATENATE("&amp; !c_test_reg_pin_disable_",RIGHT(IF(B66=0,LOOKUP(2,1/($B$2:B66&lt;&gt;0),$B$2:B66),B66),LEN(IF(B66=0,LOOKUP(2,1/($B$2:B66&lt;&gt;0),$B$2:B66),B66))-FIND(".",IF(B66=0,LOOKUP(2,1/($B$2:B66&lt;&gt;0),$B$2:B66),B66)))),""),IF(P66,CONCATENATE("_grp_",P66),""),"/","c_pad_",RIGHT(IF(B66=0,LOOKUP(2,1/($B$2:B66&lt;&gt;0),$B$2:B66),B66),LEN(IF(B66=0,LOOKUP(2,1/($B$2:B66&lt;&gt;0),$B$2:B66),B66))-FIND(".",IF(B66=0,LOOKUP(2,1/($B$2:B66&lt;&gt;0),$B$2:B66),B66))),"_",IF(ISNUMBER(SEARCH("[",D66)),LEFT(D66,FIND("[",D66)-1),D66)),"")</f>
        <v>c_reg_test_sel_osc32m_inst/c_pad_osc32m_inst_Temp</v>
      </c>
      <c r="P66" s="9"/>
      <c r="Q66" s="83" t="s">
        <v>226</v>
      </c>
      <c r="R66" s="78" t="s">
        <v>227</v>
      </c>
      <c r="S66" s="78" t="s">
        <v>228</v>
      </c>
      <c r="T66" s="83"/>
    </row>
    <row r="67" customFormat="1" ht="43.2" customHeight="1" spans="1:20">
      <c r="A67" s="72" t="s">
        <v>197</v>
      </c>
      <c r="B67" s="93"/>
      <c r="C67" s="78" t="s">
        <v>61</v>
      </c>
      <c r="D67" s="78" t="s">
        <v>229</v>
      </c>
      <c r="E67" s="78">
        <f t="shared" si="3"/>
        <v>4</v>
      </c>
      <c r="F67" s="98" t="s">
        <v>63</v>
      </c>
      <c r="G67" s="93" t="s">
        <v>135</v>
      </c>
      <c r="H67" s="83" t="s">
        <v>230</v>
      </c>
      <c r="I67" s="93" t="s">
        <v>65</v>
      </c>
      <c r="J67" s="103"/>
      <c r="K67" s="103"/>
      <c r="L67" s="103"/>
      <c r="M67" s="89" t="str">
        <f t="shared" si="4"/>
        <v>b0001</v>
      </c>
      <c r="N67" s="103"/>
      <c r="O67" s="88" t="str">
        <f>IF(AND(OR(EXACT(F67,"I"),EXACT(F67,"O")),NOT(EXACT(P67,"NA"))),CONCATENATE("c_reg_test_sel_",RIGHT(IF(B67=0,LOOKUP(2,1/($B$2:B67&lt;&gt;0),$B$2:B67),B67),LEN(IF(B67=0,LOOKUP(2,1/($B$2:B67&lt;&gt;0),$B$2:B67),B67))-FIND(".",IF(B67=0,LOOKUP(2,1/($B$2:B67&lt;&gt;0),$B$2:B67),B67))),IF(0,CONCATENATE("&amp; !c_test_reg_pin_disable_",RIGHT(IF(B67=0,LOOKUP(2,1/($B$2:B67&lt;&gt;0),$B$2:B67),B67),LEN(IF(B67=0,LOOKUP(2,1/($B$2:B67&lt;&gt;0),$B$2:B67),B67))-FIND(".",IF(B67=0,LOOKUP(2,1/($B$2:B67&lt;&gt;0),$B$2:B67),B67)))),""),IF(P67,CONCATENATE("_grp_",P67),""),"/","c_pad_",RIGHT(IF(B67=0,LOOKUP(2,1/($B$2:B67&lt;&gt;0),$B$2:B67),B67),LEN(IF(B67=0,LOOKUP(2,1/($B$2:B67&lt;&gt;0),$B$2:B67),B67))-FIND(".",IF(B67=0,LOOKUP(2,1/($B$2:B67&lt;&gt;0),$B$2:B67),B67))),"_",IF(ISNUMBER(SEARCH("[",D67)),LEFT(D67,FIND("[",D67)-1),D67)),"")</f>
        <v>c_reg_test_sel_osc32m_inst/c_pad_osc32m_inst_HRC_OK_MUX</v>
      </c>
      <c r="P67" s="9"/>
      <c r="Q67" s="83" t="s">
        <v>231</v>
      </c>
      <c r="R67" s="78" t="s">
        <v>232</v>
      </c>
      <c r="S67" s="78" t="s">
        <v>184</v>
      </c>
      <c r="T67" s="83"/>
    </row>
    <row r="68" customFormat="1" ht="28.2" hidden="1" customHeight="1" spans="1:20">
      <c r="A68" s="72" t="s">
        <v>197</v>
      </c>
      <c r="B68" s="93"/>
      <c r="C68" s="78" t="s">
        <v>233</v>
      </c>
      <c r="D68" s="78" t="s">
        <v>234</v>
      </c>
      <c r="E68" s="78">
        <f t="shared" si="3"/>
        <v>1</v>
      </c>
      <c r="F68" s="98" t="s">
        <v>140</v>
      </c>
      <c r="G68" s="83"/>
      <c r="H68" s="83"/>
      <c r="I68" s="102"/>
      <c r="Q68" s="102" t="s">
        <v>235</v>
      </c>
      <c r="R68" s="78"/>
      <c r="S68" s="78"/>
      <c r="T68" s="83"/>
    </row>
    <row r="69" customFormat="1" ht="22.95" hidden="1" customHeight="1" spans="1:20">
      <c r="A69" s="72" t="s">
        <v>197</v>
      </c>
      <c r="B69" s="93"/>
      <c r="C69" s="78" t="s">
        <v>236</v>
      </c>
      <c r="D69" s="78" t="s">
        <v>237</v>
      </c>
      <c r="E69" s="78">
        <f t="shared" si="3"/>
        <v>1</v>
      </c>
      <c r="F69" s="98" t="s">
        <v>140</v>
      </c>
      <c r="G69" s="83"/>
      <c r="H69" s="83"/>
      <c r="I69" s="83"/>
      <c r="Q69" s="83" t="s">
        <v>238</v>
      </c>
      <c r="R69" s="78"/>
      <c r="S69" s="78"/>
      <c r="T69" s="83"/>
    </row>
    <row r="70" customFormat="1" ht="43.2" hidden="1" customHeight="1" spans="1:20">
      <c r="A70" s="72" t="s">
        <v>197</v>
      </c>
      <c r="B70" s="93"/>
      <c r="C70" s="78" t="s">
        <v>61</v>
      </c>
      <c r="D70" s="78" t="s">
        <v>239</v>
      </c>
      <c r="E70" s="78">
        <f t="shared" si="3"/>
        <v>1</v>
      </c>
      <c r="F70" s="98" t="s">
        <v>79</v>
      </c>
      <c r="G70" s="93" t="s">
        <v>135</v>
      </c>
      <c r="H70" s="83"/>
      <c r="I70" s="83" t="s">
        <v>80</v>
      </c>
      <c r="J70" s="103"/>
      <c r="K70" s="103"/>
      <c r="L70" s="103"/>
      <c r="M70" s="89">
        <f>H70</f>
        <v>0</v>
      </c>
      <c r="N70" s="80" t="s">
        <v>240</v>
      </c>
      <c r="O70" s="88" t="str">
        <f>IF(AND(OR(EXACT(F70,"I"),EXACT(F70,"O")),NOT(EXACT(P70,"NA"))),CONCATENATE("c_reg_test_sel_",RIGHT(IF(B70=0,LOOKUP(2,1/($B$2:B70&lt;&gt;0),$B$2:B70),B70),LEN(IF(B70=0,LOOKUP(2,1/($B$2:B70&lt;&gt;0),$B$2:B70),B70))-FIND(".",IF(B70=0,LOOKUP(2,1/($B$2:B70&lt;&gt;0),$B$2:B70),B70))),IF(0,CONCATENATE("&amp; !c_test_reg_pin_disable_",RIGHT(IF(B70=0,LOOKUP(2,1/($B$2:B70&lt;&gt;0),$B$2:B70),B70),LEN(IF(B70=0,LOOKUP(2,1/($B$2:B70&lt;&gt;0),$B$2:B70),B70))-FIND(".",IF(B70=0,LOOKUP(2,1/($B$2:B70&lt;&gt;0),$B$2:B70),B70)))),""),IF(P70,CONCATENATE("_grp_",P70),""),"/","c_pad_",RIGHT(IF(B70=0,LOOKUP(2,1/($B$2:B70&lt;&gt;0),$B$2:B70),B70),LEN(IF(B70=0,LOOKUP(2,1/($B$2:B70&lt;&gt;0),$B$2:B70),B70))-FIND(".",IF(B70=0,LOOKUP(2,1/($B$2:B70&lt;&gt;0),$B$2:B70),B70))),"_",IF(ISNUMBER(SEARCH("[",D70)),LEFT(D70,FIND("[",D70)-1),D70)),"")</f>
        <v>c_reg_test_sel_osc32m_inst/c_pad_osc32m_inst_OSC_out</v>
      </c>
      <c r="P70" s="9"/>
      <c r="Q70" s="83" t="s">
        <v>241</v>
      </c>
      <c r="R70" s="78"/>
      <c r="S70" s="78"/>
      <c r="T70" s="83"/>
    </row>
    <row r="71" customFormat="1" ht="98.4" hidden="1" customHeight="1" spans="1:20">
      <c r="A71" s="72" t="s">
        <v>197</v>
      </c>
      <c r="B71" s="93"/>
      <c r="C71" s="78" t="s">
        <v>61</v>
      </c>
      <c r="D71" s="78" t="s">
        <v>242</v>
      </c>
      <c r="E71" s="78">
        <f t="shared" si="3"/>
        <v>1</v>
      </c>
      <c r="F71" s="98" t="s">
        <v>79</v>
      </c>
      <c r="G71" s="93" t="s">
        <v>135</v>
      </c>
      <c r="H71" s="83"/>
      <c r="I71" s="83" t="s">
        <v>65</v>
      </c>
      <c r="J71" s="103"/>
      <c r="K71" s="103"/>
      <c r="L71" s="103"/>
      <c r="M71" s="89">
        <f>H71</f>
        <v>0</v>
      </c>
      <c r="N71" s="103"/>
      <c r="O71" s="88" t="str">
        <f>IF(AND(OR(EXACT(F71,"I"),EXACT(F71,"O")),NOT(EXACT(P71,"NA"))),CONCATENATE("c_reg_test_sel_",RIGHT(IF(B71=0,LOOKUP(2,1/($B$2:B71&lt;&gt;0),$B$2:B71),B71),LEN(IF(B71=0,LOOKUP(2,1/($B$2:B71&lt;&gt;0),$B$2:B71),B71))-FIND(".",IF(B71=0,LOOKUP(2,1/($B$2:B71&lt;&gt;0),$B$2:B71),B71))),IF(0,CONCATENATE("&amp; !c_test_reg_pin_disable_",RIGHT(IF(B71=0,LOOKUP(2,1/($B$2:B71&lt;&gt;0),$B$2:B71),B71),LEN(IF(B71=0,LOOKUP(2,1/($B$2:B71&lt;&gt;0),$B$2:B71),B71))-FIND(".",IF(B71=0,LOOKUP(2,1/($B$2:B71&lt;&gt;0),$B$2:B71),B71)))),""),IF(P71,CONCATENATE("_grp_",P71),""),"/","c_pad_",RIGHT(IF(B71=0,LOOKUP(2,1/($B$2:B71&lt;&gt;0),$B$2:B71),B71),LEN(IF(B71=0,LOOKUP(2,1/($B$2:B71&lt;&gt;0),$B$2:B71),B71))-FIND(".",IF(B71=0,LOOKUP(2,1/($B$2:B71&lt;&gt;0),$B$2:B71),B71))),"_",IF(ISNUMBER(SEARCH("[",D71)),LEFT(D71,FIND("[",D71)-1),D71)),"")</f>
        <v>c_reg_test_sel_osc32m_inst/c_pad_osc32m_inst_HRC_OK_LV</v>
      </c>
      <c r="P71" s="9"/>
      <c r="Q71" s="83" t="s">
        <v>243</v>
      </c>
      <c r="R71" s="91" t="s">
        <v>244</v>
      </c>
      <c r="S71" s="78"/>
      <c r="T71" s="83"/>
    </row>
    <row r="72" ht="47.25" hidden="1" spans="1:20">
      <c r="A72" s="72" t="s">
        <v>245</v>
      </c>
      <c r="B72" s="83" t="s">
        <v>245</v>
      </c>
      <c r="C72" s="78" t="s">
        <v>50</v>
      </c>
      <c r="D72" s="78" t="s">
        <v>246</v>
      </c>
      <c r="E72" s="78">
        <f t="shared" si="3"/>
        <v>1</v>
      </c>
      <c r="F72" s="98" t="s">
        <v>52</v>
      </c>
      <c r="G72" s="93" t="s">
        <v>130</v>
      </c>
      <c r="H72" s="93"/>
      <c r="I72" s="99"/>
      <c r="M72" s="72"/>
      <c r="P72" s="72"/>
      <c r="Q72" s="102" t="s">
        <v>247</v>
      </c>
      <c r="R72" s="78"/>
      <c r="S72" s="78"/>
      <c r="T72" s="83"/>
    </row>
    <row r="73" hidden="1" spans="1:20">
      <c r="A73" s="72" t="s">
        <v>245</v>
      </c>
      <c r="B73" s="83"/>
      <c r="C73" s="78" t="s">
        <v>199</v>
      </c>
      <c r="D73" s="78" t="s">
        <v>248</v>
      </c>
      <c r="E73" s="78">
        <f t="shared" si="3"/>
        <v>1</v>
      </c>
      <c r="F73" s="98" t="s">
        <v>52</v>
      </c>
      <c r="G73" s="93" t="s">
        <v>135</v>
      </c>
      <c r="H73" s="93"/>
      <c r="I73" s="93"/>
      <c r="M73" s="72"/>
      <c r="P73" s="72"/>
      <c r="Q73" s="105" t="s">
        <v>249</v>
      </c>
      <c r="R73" s="78"/>
      <c r="S73" s="78"/>
      <c r="T73" s="83"/>
    </row>
    <row r="74" hidden="1" spans="1:20">
      <c r="A74" s="72" t="s">
        <v>245</v>
      </c>
      <c r="B74" s="83"/>
      <c r="C74" s="78" t="s">
        <v>53</v>
      </c>
      <c r="D74" s="78" t="s">
        <v>205</v>
      </c>
      <c r="E74" s="78">
        <f t="shared" si="3"/>
        <v>1</v>
      </c>
      <c r="F74" s="98" t="s">
        <v>55</v>
      </c>
      <c r="G74" s="83" t="s">
        <v>130</v>
      </c>
      <c r="H74" s="93"/>
      <c r="I74" s="93"/>
      <c r="M74" s="72"/>
      <c r="P74" s="72"/>
      <c r="Q74" s="105" t="s">
        <v>250</v>
      </c>
      <c r="R74" s="78"/>
      <c r="S74" s="78"/>
      <c r="T74" s="83"/>
    </row>
    <row r="75" hidden="1" spans="1:20">
      <c r="A75" s="72" t="s">
        <v>245</v>
      </c>
      <c r="B75" s="83"/>
      <c r="C75" s="78" t="s">
        <v>56</v>
      </c>
      <c r="D75" s="78" t="s">
        <v>206</v>
      </c>
      <c r="E75" s="78">
        <f t="shared" si="3"/>
        <v>1</v>
      </c>
      <c r="F75" s="98" t="s">
        <v>55</v>
      </c>
      <c r="G75" s="93" t="s">
        <v>135</v>
      </c>
      <c r="H75" s="93"/>
      <c r="I75" s="93"/>
      <c r="M75" s="72"/>
      <c r="P75" s="72"/>
      <c r="Q75" s="105" t="s">
        <v>251</v>
      </c>
      <c r="R75" s="78"/>
      <c r="S75" s="78"/>
      <c r="T75" s="83"/>
    </row>
    <row r="76" ht="47.25" hidden="1" spans="1:20">
      <c r="A76" s="72" t="s">
        <v>245</v>
      </c>
      <c r="B76" s="83"/>
      <c r="C76" s="78" t="s">
        <v>252</v>
      </c>
      <c r="D76" s="78" t="s">
        <v>253</v>
      </c>
      <c r="E76" s="78">
        <f t="shared" si="3"/>
        <v>2</v>
      </c>
      <c r="F76" s="98" t="s">
        <v>140</v>
      </c>
      <c r="G76" s="93" t="s">
        <v>135</v>
      </c>
      <c r="H76" s="93"/>
      <c r="I76" s="93"/>
      <c r="M76" s="72"/>
      <c r="P76" s="72"/>
      <c r="Q76" s="83" t="s">
        <v>254</v>
      </c>
      <c r="R76" s="78"/>
      <c r="S76" s="78"/>
      <c r="T76" s="83"/>
    </row>
    <row r="77" hidden="1" spans="1:20">
      <c r="A77" s="72" t="s">
        <v>245</v>
      </c>
      <c r="B77" s="83"/>
      <c r="C77" s="78" t="s">
        <v>255</v>
      </c>
      <c r="D77" s="78" t="s">
        <v>256</v>
      </c>
      <c r="E77" s="78">
        <f t="shared" si="3"/>
        <v>1</v>
      </c>
      <c r="F77" s="98" t="s">
        <v>140</v>
      </c>
      <c r="G77" s="83"/>
      <c r="H77" s="93"/>
      <c r="I77" s="93"/>
      <c r="M77" s="72"/>
      <c r="P77" s="72"/>
      <c r="Q77" s="83" t="s">
        <v>257</v>
      </c>
      <c r="R77" s="78"/>
      <c r="S77" s="78"/>
      <c r="T77" s="83"/>
    </row>
    <row r="78" ht="94.5" spans="1:20">
      <c r="A78" s="72" t="s">
        <v>245</v>
      </c>
      <c r="B78" s="83"/>
      <c r="C78" s="78" t="s">
        <v>61</v>
      </c>
      <c r="D78" s="78" t="s">
        <v>258</v>
      </c>
      <c r="E78" s="78">
        <f t="shared" si="3"/>
        <v>2</v>
      </c>
      <c r="F78" s="98" t="s">
        <v>63</v>
      </c>
      <c r="G78" s="83"/>
      <c r="H78" s="93" t="s">
        <v>259</v>
      </c>
      <c r="I78" s="83" t="s">
        <v>65</v>
      </c>
      <c r="J78" s="80"/>
      <c r="K78" s="80"/>
      <c r="L78" s="80"/>
      <c r="M78" s="89" t="str">
        <f>H78</f>
        <v>b00</v>
      </c>
      <c r="N78" s="80"/>
      <c r="O78" s="88" t="str">
        <f>IF(AND(OR(EXACT(F78,"I"),EXACT(F78,"O")),NOT(EXACT(P78,"NA"))),CONCATENATE("c_reg_test_sel_",RIGHT(IF(B78=0,LOOKUP(2,1/($B$2:B78&lt;&gt;0),$B$2:B78),B78),LEN(IF(B78=0,LOOKUP(2,1/($B$2:B78&lt;&gt;0),$B$2:B78),B78))-FIND(".",IF(B78=0,LOOKUP(2,1/($B$2:B78&lt;&gt;0),$B$2:B78),B78))),IF(0,CONCATENATE("&amp; !c_test_reg_pin_disable_",RIGHT(IF(B78=0,LOOKUP(2,1/($B$2:B78&lt;&gt;0),$B$2:B78),B78),LEN(IF(B78=0,LOOKUP(2,1/($B$2:B78&lt;&gt;0),$B$2:B78),B78))-FIND(".",IF(B78=0,LOOKUP(2,1/($B$2:B78&lt;&gt;0),$B$2:B78),B78)))),""),IF(P78,CONCATENATE("_grp_",P78),""),"/","c_pad_",RIGHT(IF(B78=0,LOOKUP(2,1/($B$2:B78&lt;&gt;0),$B$2:B78),B78),LEN(IF(B78=0,LOOKUP(2,1/($B$2:B78&lt;&gt;0),$B$2:B78),B78))-FIND(".",IF(B78=0,LOOKUP(2,1/($B$2:B78&lt;&gt;0),$B$2:B78),B78))),"_",IF(ISNUMBER(SEARCH("[",D78)),LEFT(D78,FIND("[",D78)-1),D78)),"")</f>
        <v/>
      </c>
      <c r="P78" s="82" t="s">
        <v>260</v>
      </c>
      <c r="Q78" s="83" t="s">
        <v>261</v>
      </c>
      <c r="R78" s="78" t="s">
        <v>262</v>
      </c>
      <c r="S78" s="78" t="s">
        <v>263</v>
      </c>
      <c r="T78" s="83"/>
    </row>
    <row r="79" spans="1:20">
      <c r="A79" s="72" t="s">
        <v>245</v>
      </c>
      <c r="B79" s="83"/>
      <c r="C79" s="78" t="s">
        <v>61</v>
      </c>
      <c r="D79" s="78" t="s">
        <v>264</v>
      </c>
      <c r="E79" s="78">
        <f t="shared" si="3"/>
        <v>1</v>
      </c>
      <c r="F79" s="98" t="s">
        <v>63</v>
      </c>
      <c r="G79" s="83"/>
      <c r="H79" s="93" t="s">
        <v>265</v>
      </c>
      <c r="I79" s="83" t="s">
        <v>65</v>
      </c>
      <c r="J79" s="80"/>
      <c r="K79" s="80"/>
      <c r="L79" s="80"/>
      <c r="M79" s="89" t="str">
        <f>H79</f>
        <v>b1</v>
      </c>
      <c r="N79" s="80"/>
      <c r="O79" s="88" t="str">
        <f>IF(AND(OR(EXACT(F79,"I"),EXACT(F79,"O")),NOT(EXACT(P79,"NA"))),CONCATENATE("c_reg_test_sel_",RIGHT(IF(B79=0,LOOKUP(2,1/($B$2:B79&lt;&gt;0),$B$2:B79),B79),LEN(IF(B79=0,LOOKUP(2,1/($B$2:B79&lt;&gt;0),$B$2:B79),B79))-FIND(".",IF(B79=0,LOOKUP(2,1/($B$2:B79&lt;&gt;0),$B$2:B79),B79))),IF(0,CONCATENATE("&amp; !c_test_reg_pin_disable_",RIGHT(IF(B79=0,LOOKUP(2,1/($B$2:B79&lt;&gt;0),$B$2:B79),B79),LEN(IF(B79=0,LOOKUP(2,1/($B$2:B79&lt;&gt;0),$B$2:B79),B79))-FIND(".",IF(B79=0,LOOKUP(2,1/($B$2:B79&lt;&gt;0),$B$2:B79),B79)))),""),IF(P79,CONCATENATE("_grp_",P79),""),"/","c_pad_",RIGHT(IF(B79=0,LOOKUP(2,1/($B$2:B79&lt;&gt;0),$B$2:B79),B79),LEN(IF(B79=0,LOOKUP(2,1/($B$2:B79&lt;&gt;0),$B$2:B79),B79))-FIND(".",IF(B79=0,LOOKUP(2,1/($B$2:B79&lt;&gt;0),$B$2:B79),B79))),"_",IF(ISNUMBER(SEARCH("[",D79)),LEFT(D79,FIND("[",D79)-1),D79)),"")</f>
        <v/>
      </c>
      <c r="P79" s="82" t="s">
        <v>260</v>
      </c>
      <c r="Q79" s="83"/>
      <c r="R79" s="78" t="s">
        <v>266</v>
      </c>
      <c r="S79" s="78" t="s">
        <v>267</v>
      </c>
      <c r="T79" s="83"/>
    </row>
    <row r="80" ht="31.5" hidden="1" spans="1:20">
      <c r="A80" s="72" t="s">
        <v>245</v>
      </c>
      <c r="B80" s="83"/>
      <c r="C80" s="85" t="s">
        <v>268</v>
      </c>
      <c r="D80" s="85" t="s">
        <v>269</v>
      </c>
      <c r="E80" s="78">
        <f t="shared" si="3"/>
        <v>1</v>
      </c>
      <c r="F80" s="98" t="s">
        <v>140</v>
      </c>
      <c r="G80" s="83"/>
      <c r="H80" s="93"/>
      <c r="I80" s="99"/>
      <c r="M80" s="72"/>
      <c r="P80" s="72"/>
      <c r="Q80" s="106" t="s">
        <v>270</v>
      </c>
      <c r="R80" s="78"/>
      <c r="S80" s="78"/>
      <c r="T80" s="83"/>
    </row>
    <row r="81" ht="47.25" hidden="1" spans="1:20">
      <c r="A81" s="72" t="s">
        <v>245</v>
      </c>
      <c r="B81" s="83"/>
      <c r="C81" s="78" t="s">
        <v>153</v>
      </c>
      <c r="D81" s="78" t="s">
        <v>271</v>
      </c>
      <c r="E81" s="78">
        <f t="shared" si="3"/>
        <v>1</v>
      </c>
      <c r="F81" s="98" t="s">
        <v>140</v>
      </c>
      <c r="G81" s="83"/>
      <c r="H81" s="93"/>
      <c r="I81" s="93"/>
      <c r="M81" s="72"/>
      <c r="P81" s="72"/>
      <c r="Q81" s="83" t="s">
        <v>272</v>
      </c>
      <c r="R81" s="78"/>
      <c r="S81" s="78"/>
      <c r="T81" s="83"/>
    </row>
    <row r="82" ht="63" spans="1:20">
      <c r="A82" s="72" t="s">
        <v>245</v>
      </c>
      <c r="B82" s="83"/>
      <c r="C82" s="78" t="s">
        <v>61</v>
      </c>
      <c r="D82" s="78" t="s">
        <v>273</v>
      </c>
      <c r="E82" s="78">
        <f t="shared" si="3"/>
        <v>1</v>
      </c>
      <c r="F82" s="98" t="s">
        <v>63</v>
      </c>
      <c r="G82" s="83"/>
      <c r="H82" s="93" t="s">
        <v>64</v>
      </c>
      <c r="I82" s="83" t="s">
        <v>65</v>
      </c>
      <c r="J82" s="80"/>
      <c r="K82" s="80"/>
      <c r="L82" s="80"/>
      <c r="M82" s="89" t="str">
        <f t="shared" ref="M82:M87" si="5">H82</f>
        <v>b0</v>
      </c>
      <c r="N82" s="80"/>
      <c r="O82" s="88" t="str">
        <f>IF(AND(OR(EXACT(F82,"I"),EXACT(F82,"O")),NOT(EXACT(P82,"NA"))),CONCATENATE("c_reg_test_sel_",RIGHT(IF(B82=0,LOOKUP(2,1/($B$2:B82&lt;&gt;0),$B$2:B82),B82),LEN(IF(B82=0,LOOKUP(2,1/($B$2:B82&lt;&gt;0),$B$2:B82),B82))-FIND(".",IF(B82=0,LOOKUP(2,1/($B$2:B82&lt;&gt;0),$B$2:B82),B82))),IF(0,CONCATENATE("&amp; !c_test_reg_pin_disable_",RIGHT(IF(B82=0,LOOKUP(2,1/($B$2:B82&lt;&gt;0),$B$2:B82),B82),LEN(IF(B82=0,LOOKUP(2,1/($B$2:B82&lt;&gt;0),$B$2:B82),B82))-FIND(".",IF(B82=0,LOOKUP(2,1/($B$2:B82&lt;&gt;0),$B$2:B82),B82)))),""),IF(P82,CONCATENATE("_grp_",P82),""),"/","c_pad_",RIGHT(IF(B82=0,LOOKUP(2,1/($B$2:B82&lt;&gt;0),$B$2:B82),B82),LEN(IF(B82=0,LOOKUP(2,1/($B$2:B82&lt;&gt;0),$B$2:B82),B82))-FIND(".",IF(B82=0,LOOKUP(2,1/($B$2:B82&lt;&gt;0),$B$2:B82),B82))),"_",IF(ISNUMBER(SEARCH("[",D82)),LEFT(D82,FIND("[",D82)-1),D82)),"")</f>
        <v>c_reg_test_sel_pll_inst/c_pad_pll_inst_EN_PLL</v>
      </c>
      <c r="P82" s="82"/>
      <c r="Q82" s="83" t="s">
        <v>274</v>
      </c>
      <c r="R82" s="78" t="s">
        <v>262</v>
      </c>
      <c r="S82" s="78" t="s">
        <v>177</v>
      </c>
      <c r="T82" s="83"/>
    </row>
    <row r="83" ht="63" spans="1:20">
      <c r="A83" s="72" t="s">
        <v>245</v>
      </c>
      <c r="B83" s="83"/>
      <c r="C83" s="78" t="s">
        <v>61</v>
      </c>
      <c r="D83" s="78" t="s">
        <v>275</v>
      </c>
      <c r="E83" s="78">
        <f t="shared" si="3"/>
        <v>1</v>
      </c>
      <c r="F83" s="98" t="s">
        <v>63</v>
      </c>
      <c r="G83" s="83"/>
      <c r="H83" s="93" t="s">
        <v>265</v>
      </c>
      <c r="I83" s="83" t="s">
        <v>65</v>
      </c>
      <c r="J83" s="80"/>
      <c r="K83" s="80"/>
      <c r="L83" s="80"/>
      <c r="M83" s="89" t="str">
        <f t="shared" si="5"/>
        <v>b1</v>
      </c>
      <c r="N83" s="80"/>
      <c r="O83" s="88" t="str">
        <f>IF(AND(OR(EXACT(F83,"I"),EXACT(F83,"O")),NOT(EXACT(P83,"NA"))),CONCATENATE("c_reg_test_sel_",RIGHT(IF(B83=0,LOOKUP(2,1/($B$2:B83&lt;&gt;0),$B$2:B83),B83),LEN(IF(B83=0,LOOKUP(2,1/($B$2:B83&lt;&gt;0),$B$2:B83),B83))-FIND(".",IF(B83=0,LOOKUP(2,1/($B$2:B83&lt;&gt;0),$B$2:B83),B83))),IF(0,CONCATENATE("&amp; !c_test_reg_pin_disable_",RIGHT(IF(B83=0,LOOKUP(2,1/($B$2:B83&lt;&gt;0),$B$2:B83),B83),LEN(IF(B83=0,LOOKUP(2,1/($B$2:B83&lt;&gt;0),$B$2:B83),B83))-FIND(".",IF(B83=0,LOOKUP(2,1/($B$2:B83&lt;&gt;0),$B$2:B83),B83)))),""),IF(P83,CONCATENATE("_grp_",P83),""),"/","c_pad_",RIGHT(IF(B83=0,LOOKUP(2,1/($B$2:B83&lt;&gt;0),$B$2:B83),B83),LEN(IF(B83=0,LOOKUP(2,1/($B$2:B83&lt;&gt;0),$B$2:B83),B83))-FIND(".",IF(B83=0,LOOKUP(2,1/($B$2:B83&lt;&gt;0),$B$2:B83),B83))),"_",IF(ISNUMBER(SEARCH("[",D83)),LEFT(D83,FIND("[",D83)-1),D83)),"")</f>
        <v>c_reg_test_sel_pll_inst/c_pad_pll_inst_nrst</v>
      </c>
      <c r="P83" s="82"/>
      <c r="Q83" s="83" t="s">
        <v>276</v>
      </c>
      <c r="R83" s="78" t="s">
        <v>262</v>
      </c>
      <c r="S83" s="78" t="s">
        <v>180</v>
      </c>
      <c r="T83" s="83"/>
    </row>
    <row r="84" ht="47.25" spans="1:20">
      <c r="A84" s="72" t="s">
        <v>245</v>
      </c>
      <c r="B84" s="83"/>
      <c r="C84" s="78" t="s">
        <v>61</v>
      </c>
      <c r="D84" s="78" t="s">
        <v>277</v>
      </c>
      <c r="E84" s="78">
        <f t="shared" si="3"/>
        <v>1</v>
      </c>
      <c r="F84" s="98" t="s">
        <v>63</v>
      </c>
      <c r="G84" s="83"/>
      <c r="H84" s="93" t="s">
        <v>64</v>
      </c>
      <c r="I84" s="93" t="s">
        <v>80</v>
      </c>
      <c r="J84" s="80"/>
      <c r="K84" s="80"/>
      <c r="L84" s="80"/>
      <c r="M84" s="89" t="str">
        <f t="shared" si="5"/>
        <v>b0</v>
      </c>
      <c r="N84" s="80"/>
      <c r="O84" s="88" t="str">
        <f>IF(AND(OR(EXACT(F84,"I"),EXACT(F84,"O")),NOT(EXACT(P84,"NA"))),CONCATENATE("c_reg_test_sel_",RIGHT(IF(B84=0,LOOKUP(2,1/($B$2:B84&lt;&gt;0),$B$2:B84),B84),LEN(IF(B84=0,LOOKUP(2,1/($B$2:B84&lt;&gt;0),$B$2:B84),B84))-FIND(".",IF(B84=0,LOOKUP(2,1/($B$2:B84&lt;&gt;0),$B$2:B84),B84))),IF(0,CONCATENATE("&amp; !c_test_reg_pin_disable_",RIGHT(IF(B84=0,LOOKUP(2,1/($B$2:B84&lt;&gt;0),$B$2:B84),B84),LEN(IF(B84=0,LOOKUP(2,1/($B$2:B84&lt;&gt;0),$B$2:B84),B84))-FIND(".",IF(B84=0,LOOKUP(2,1/($B$2:B84&lt;&gt;0),$B$2:B84),B84)))),""),IF(P84,CONCATENATE("_grp_",P84),""),"/","c_pad_",RIGHT(IF(B84=0,LOOKUP(2,1/($B$2:B84&lt;&gt;0),$B$2:B84),B84),LEN(IF(B84=0,LOOKUP(2,1/($B$2:B84&lt;&gt;0),$B$2:B84),B84))-FIND(".",IF(B84=0,LOOKUP(2,1/($B$2:B84&lt;&gt;0),$B$2:B84),B84))),"_",IF(ISNUMBER(SEARCH("[",D84)),LEFT(D84,FIND("[",D84)-1),D84)),"")</f>
        <v>c_reg_test_sel_pll_inst/c_pad_pll_inst_clk_ext</v>
      </c>
      <c r="P84" s="82"/>
      <c r="Q84" s="83" t="s">
        <v>278</v>
      </c>
      <c r="R84" s="78" t="s">
        <v>279</v>
      </c>
      <c r="S84" s="78" t="s">
        <v>192</v>
      </c>
      <c r="T84" s="83"/>
    </row>
    <row r="85" ht="47.25" spans="1:20">
      <c r="A85" s="72" t="s">
        <v>245</v>
      </c>
      <c r="B85" s="83"/>
      <c r="C85" s="78" t="s">
        <v>61</v>
      </c>
      <c r="D85" s="78" t="s">
        <v>280</v>
      </c>
      <c r="E85" s="78">
        <f t="shared" si="3"/>
        <v>1</v>
      </c>
      <c r="F85" s="98" t="s">
        <v>63</v>
      </c>
      <c r="G85" s="83"/>
      <c r="H85" s="93" t="s">
        <v>64</v>
      </c>
      <c r="I85" s="93" t="s">
        <v>80</v>
      </c>
      <c r="J85" s="80"/>
      <c r="K85" s="80"/>
      <c r="L85" s="80"/>
      <c r="M85" s="89" t="str">
        <f t="shared" si="5"/>
        <v>b0</v>
      </c>
      <c r="N85" s="80"/>
      <c r="O85" s="88" t="str">
        <f>IF(AND(OR(EXACT(F85,"I"),EXACT(F85,"O")),NOT(EXACT(P85,"NA"))),CONCATENATE("c_reg_test_sel_",RIGHT(IF(B85=0,LOOKUP(2,1/($B$2:B85&lt;&gt;0),$B$2:B85),B85),LEN(IF(B85=0,LOOKUP(2,1/($B$2:B85&lt;&gt;0),$B$2:B85),B85))-FIND(".",IF(B85=0,LOOKUP(2,1/($B$2:B85&lt;&gt;0),$B$2:B85),B85))),IF(0,CONCATENATE("&amp; !c_test_reg_pin_disable_",RIGHT(IF(B85=0,LOOKUP(2,1/($B$2:B85&lt;&gt;0),$B$2:B85),B85),LEN(IF(B85=0,LOOKUP(2,1/($B$2:B85&lt;&gt;0),$B$2:B85),B85))-FIND(".",IF(B85=0,LOOKUP(2,1/($B$2:B85&lt;&gt;0),$B$2:B85),B85)))),""),IF(P85,CONCATENATE("_grp_",P85),""),"/","c_pad_",RIGHT(IF(B85=0,LOOKUP(2,1/($B$2:B85&lt;&gt;0),$B$2:B85),B85),LEN(IF(B85=0,LOOKUP(2,1/($B$2:B85&lt;&gt;0),$B$2:B85),B85))-FIND(".",IF(B85=0,LOOKUP(2,1/($B$2:B85&lt;&gt;0),$B$2:B85),B85))),"_",IF(ISNUMBER(SEARCH("[",D85)),LEFT(D85,FIND("[",D85)-1),D85)),"")</f>
        <v>c_reg_test_sel_pll_inst/c_pad_pll_inst_clk_soc</v>
      </c>
      <c r="P85" s="82"/>
      <c r="Q85" s="83" t="s">
        <v>281</v>
      </c>
      <c r="R85" s="78" t="s">
        <v>279</v>
      </c>
      <c r="S85" s="78" t="s">
        <v>282</v>
      </c>
      <c r="T85" s="83"/>
    </row>
    <row r="86" ht="63" spans="1:20">
      <c r="A86" s="72" t="s">
        <v>245</v>
      </c>
      <c r="B86" s="83"/>
      <c r="C86" s="78" t="s">
        <v>61</v>
      </c>
      <c r="D86" s="78" t="s">
        <v>283</v>
      </c>
      <c r="E86" s="78">
        <f t="shared" si="3"/>
        <v>1</v>
      </c>
      <c r="F86" s="98" t="s">
        <v>63</v>
      </c>
      <c r="G86" s="83"/>
      <c r="H86" s="93" t="s">
        <v>64</v>
      </c>
      <c r="I86" s="83" t="s">
        <v>65</v>
      </c>
      <c r="J86" s="80"/>
      <c r="K86" s="80"/>
      <c r="L86" s="80"/>
      <c r="M86" s="89" t="str">
        <f t="shared" si="5"/>
        <v>b0</v>
      </c>
      <c r="N86" s="80"/>
      <c r="O86" s="88" t="str">
        <f>IF(AND(OR(EXACT(F86,"I"),EXACT(F86,"O")),NOT(EXACT(P86,"NA"))),CONCATENATE("c_reg_test_sel_",RIGHT(IF(B86=0,LOOKUP(2,1/($B$2:B86&lt;&gt;0),$B$2:B86),B86),LEN(IF(B86=0,LOOKUP(2,1/($B$2:B86&lt;&gt;0),$B$2:B86),B86))-FIND(".",IF(B86=0,LOOKUP(2,1/($B$2:B86&lt;&gt;0),$B$2:B86),B86))),IF(0,CONCATENATE("&amp; !c_test_reg_pin_disable_",RIGHT(IF(B86=0,LOOKUP(2,1/($B$2:B86&lt;&gt;0),$B$2:B86),B86),LEN(IF(B86=0,LOOKUP(2,1/($B$2:B86&lt;&gt;0),$B$2:B86),B86))-FIND(".",IF(B86=0,LOOKUP(2,1/($B$2:B86&lt;&gt;0),$B$2:B86),B86)))),""),IF(P86,CONCATENATE("_grp_",P86),""),"/","c_pad_",RIGHT(IF(B86=0,LOOKUP(2,1/($B$2:B86&lt;&gt;0),$B$2:B86),B86),LEN(IF(B86=0,LOOKUP(2,1/($B$2:B86&lt;&gt;0),$B$2:B86),B86))-FIND(".",IF(B86=0,LOOKUP(2,1/($B$2:B86&lt;&gt;0),$B$2:B86),B86))),"_",IF(ISNUMBER(SEARCH("[",D86)),LEFT(D86,FIND("[",D86)-1),D86)),"")</f>
        <v>c_reg_test_sel_pll_inst/c_pad_pll_inst_extclk_sel</v>
      </c>
      <c r="P86" s="82"/>
      <c r="Q86" s="83" t="s">
        <v>284</v>
      </c>
      <c r="R86" s="78" t="s">
        <v>285</v>
      </c>
      <c r="S86" s="78" t="s">
        <v>286</v>
      </c>
      <c r="T86" s="83"/>
    </row>
    <row r="87" ht="94.5" hidden="1" spans="1:20">
      <c r="A87" s="72" t="s">
        <v>245</v>
      </c>
      <c r="B87" s="83"/>
      <c r="C87" s="78" t="s">
        <v>61</v>
      </c>
      <c r="D87" s="78" t="s">
        <v>287</v>
      </c>
      <c r="E87" s="78">
        <f t="shared" si="3"/>
        <v>1</v>
      </c>
      <c r="F87" s="98" t="s">
        <v>79</v>
      </c>
      <c r="G87" s="83"/>
      <c r="H87" s="83"/>
      <c r="I87" s="93" t="s">
        <v>80</v>
      </c>
      <c r="J87" s="80"/>
      <c r="K87" s="80"/>
      <c r="L87" s="80"/>
      <c r="M87" s="89">
        <f t="shared" si="5"/>
        <v>0</v>
      </c>
      <c r="N87" s="80" t="s">
        <v>240</v>
      </c>
      <c r="O87" s="88" t="str">
        <f>IF(AND(OR(EXACT(F87,"I"),EXACT(F87,"O")),NOT(EXACT(P87,"NA"))),CONCATENATE("c_reg_test_sel_",RIGHT(IF(B87=0,LOOKUP(2,1/($B$2:B87&lt;&gt;0),$B$2:B87),B87),LEN(IF(B87=0,LOOKUP(2,1/($B$2:B87&lt;&gt;0),$B$2:B87),B87))-FIND(".",IF(B87=0,LOOKUP(2,1/($B$2:B87&lt;&gt;0),$B$2:B87),B87))),IF(0,CONCATENATE("&amp; !c_test_reg_pin_disable_",RIGHT(IF(B87=0,LOOKUP(2,1/($B$2:B87&lt;&gt;0),$B$2:B87),B87),LEN(IF(B87=0,LOOKUP(2,1/($B$2:B87&lt;&gt;0),$B$2:B87),B87))-FIND(".",IF(B87=0,LOOKUP(2,1/($B$2:B87&lt;&gt;0),$B$2:B87),B87)))),""),IF(P87,CONCATENATE("_grp_",P87),""),"/","c_pad_",RIGHT(IF(B87=0,LOOKUP(2,1/($B$2:B87&lt;&gt;0),$B$2:B87),B87),LEN(IF(B87=0,LOOKUP(2,1/($B$2:B87&lt;&gt;0),$B$2:B87),B87))-FIND(".",IF(B87=0,LOOKUP(2,1/($B$2:B87&lt;&gt;0),$B$2:B87),B87))),"_",IF(ISNUMBER(SEARCH("[",D87)),LEFT(D87,FIND("[",D87)-1),D87)),"")</f>
        <v>c_reg_test_sel_pll_inst/c_pad_pll_inst_CLKOUT</v>
      </c>
      <c r="P87" s="82"/>
      <c r="Q87" s="83" t="s">
        <v>288</v>
      </c>
      <c r="R87" s="78"/>
      <c r="S87" s="78"/>
      <c r="T87" s="83"/>
    </row>
    <row r="88" ht="47.25" hidden="1" spans="1:20">
      <c r="A88" s="72" t="s">
        <v>245</v>
      </c>
      <c r="B88" s="83"/>
      <c r="C88" s="78" t="s">
        <v>289</v>
      </c>
      <c r="D88" s="78" t="s">
        <v>290</v>
      </c>
      <c r="E88" s="78">
        <f t="shared" si="3"/>
        <v>1</v>
      </c>
      <c r="F88" s="98" t="s">
        <v>140</v>
      </c>
      <c r="G88" s="83"/>
      <c r="H88" s="83"/>
      <c r="I88" s="102"/>
      <c r="M88" s="72"/>
      <c r="P88" s="72"/>
      <c r="Q88" s="102" t="s">
        <v>291</v>
      </c>
      <c r="R88" s="78"/>
      <c r="S88" s="78"/>
      <c r="T88" s="83"/>
    </row>
    <row r="89" ht="63" hidden="1" spans="1:20">
      <c r="A89" s="72" t="s">
        <v>245</v>
      </c>
      <c r="B89" s="83"/>
      <c r="C89" s="78" t="s">
        <v>61</v>
      </c>
      <c r="D89" s="78" t="s">
        <v>292</v>
      </c>
      <c r="E89" s="78">
        <f t="shared" si="3"/>
        <v>1</v>
      </c>
      <c r="F89" s="98" t="s">
        <v>79</v>
      </c>
      <c r="G89" s="83"/>
      <c r="H89" s="83"/>
      <c r="I89" s="91" t="s">
        <v>65</v>
      </c>
      <c r="J89" s="80"/>
      <c r="K89" s="80"/>
      <c r="L89" s="80"/>
      <c r="M89" s="89">
        <f t="shared" ref="M89:M115" si="6">H89</f>
        <v>0</v>
      </c>
      <c r="N89" s="80"/>
      <c r="O89" s="88" t="str">
        <f>IF(AND(OR(EXACT(F89,"I"),EXACT(F89,"O")),NOT(EXACT(P89,"NA"))),CONCATENATE("c_reg_test_sel_",RIGHT(IF(B89=0,LOOKUP(2,1/($B$2:B89&lt;&gt;0),$B$2:B89),B89),LEN(IF(B89=0,LOOKUP(2,1/($B$2:B89&lt;&gt;0),$B$2:B89),B89))-FIND(".",IF(B89=0,LOOKUP(2,1/($B$2:B89&lt;&gt;0),$B$2:B89),B89))),IF(0,CONCATENATE("&amp; !c_test_reg_pin_disable_",RIGHT(IF(B89=0,LOOKUP(2,1/($B$2:B89&lt;&gt;0),$B$2:B89),B89),LEN(IF(B89=0,LOOKUP(2,1/($B$2:B89&lt;&gt;0),$B$2:B89),B89))-FIND(".",IF(B89=0,LOOKUP(2,1/($B$2:B89&lt;&gt;0),$B$2:B89),B89)))),""),IF(P89,CONCATENATE("_grp_",P89),""),"/","c_pad_",RIGHT(IF(B89=0,LOOKUP(2,1/($B$2:B89&lt;&gt;0),$B$2:B89),B89),LEN(IF(B89=0,LOOKUP(2,1/($B$2:B89&lt;&gt;0),$B$2:B89),B89))-FIND(".",IF(B89=0,LOOKUP(2,1/($B$2:B89&lt;&gt;0),$B$2:B89),B89))),"_",IF(ISNUMBER(SEARCH("[",D89)),LEFT(D89,FIND("[",D89)-1),D89)),"")</f>
        <v>c_reg_test_sel_pll_inst/c_pad_pll_inst_pll_lock</v>
      </c>
      <c r="P89" s="82"/>
      <c r="Q89" s="83" t="s">
        <v>293</v>
      </c>
      <c r="R89" s="91" t="s">
        <v>285</v>
      </c>
      <c r="S89" s="78"/>
      <c r="T89" s="83"/>
    </row>
    <row r="90" ht="126" spans="1:20">
      <c r="A90" s="72" t="s">
        <v>245</v>
      </c>
      <c r="B90" s="83"/>
      <c r="C90" s="78" t="s">
        <v>61</v>
      </c>
      <c r="D90" s="78" t="s">
        <v>294</v>
      </c>
      <c r="E90" s="78">
        <f t="shared" si="3"/>
        <v>2</v>
      </c>
      <c r="F90" s="98" t="s">
        <v>63</v>
      </c>
      <c r="G90" s="83"/>
      <c r="H90" s="83" t="s">
        <v>259</v>
      </c>
      <c r="I90" s="83" t="s">
        <v>65</v>
      </c>
      <c r="J90" s="80"/>
      <c r="K90" s="80"/>
      <c r="L90" s="80"/>
      <c r="M90" s="89" t="str">
        <f t="shared" si="6"/>
        <v>b00</v>
      </c>
      <c r="N90" s="80"/>
      <c r="O90" s="88" t="str">
        <f>IF(AND(OR(EXACT(F90,"I"),EXACT(F90,"O")),NOT(EXACT(P90,"NA"))),CONCATENATE("c_reg_test_sel_",RIGHT(IF(B90=0,LOOKUP(2,1/($B$2:B90&lt;&gt;0),$B$2:B90),B90),LEN(IF(B90=0,LOOKUP(2,1/($B$2:B90&lt;&gt;0),$B$2:B90),B90))-FIND(".",IF(B90=0,LOOKUP(2,1/($B$2:B90&lt;&gt;0),$B$2:B90),B90))),IF(0,CONCATENATE("&amp; !c_test_reg_pin_disable_",RIGHT(IF(B90=0,LOOKUP(2,1/($B$2:B90&lt;&gt;0),$B$2:B90),B90),LEN(IF(B90=0,LOOKUP(2,1/($B$2:B90&lt;&gt;0),$B$2:B90),B90))-FIND(".",IF(B90=0,LOOKUP(2,1/($B$2:B90&lt;&gt;0),$B$2:B90),B90)))),""),IF(P90,CONCATENATE("_grp_",P90),""),"/","c_pad_",RIGHT(IF(B90=0,LOOKUP(2,1/($B$2:B90&lt;&gt;0),$B$2:B90),B90),LEN(IF(B90=0,LOOKUP(2,1/($B$2:B90&lt;&gt;0),$B$2:B90),B90))-FIND(".",IF(B90=0,LOOKUP(2,1/($B$2:B90&lt;&gt;0),$B$2:B90),B90))),"_",IF(ISNUMBER(SEARCH("[",D90)),LEFT(D90,FIND("[",D90)-1),D90)),"")</f>
        <v/>
      </c>
      <c r="P90" s="82" t="s">
        <v>260</v>
      </c>
      <c r="Q90" s="83" t="s">
        <v>295</v>
      </c>
      <c r="R90" s="78" t="s">
        <v>266</v>
      </c>
      <c r="S90" s="78" t="s">
        <v>282</v>
      </c>
      <c r="T90" s="83"/>
    </row>
    <row r="91" ht="141.75" spans="1:20">
      <c r="A91" s="72" t="s">
        <v>245</v>
      </c>
      <c r="B91" s="83"/>
      <c r="C91" s="78" t="s">
        <v>61</v>
      </c>
      <c r="D91" s="78" t="s">
        <v>296</v>
      </c>
      <c r="E91" s="78">
        <f t="shared" si="3"/>
        <v>2</v>
      </c>
      <c r="F91" s="98" t="s">
        <v>63</v>
      </c>
      <c r="G91" s="83"/>
      <c r="H91" s="83" t="s">
        <v>297</v>
      </c>
      <c r="I91" s="83" t="s">
        <v>65</v>
      </c>
      <c r="J91" s="80"/>
      <c r="K91" s="80"/>
      <c r="L91" s="80"/>
      <c r="M91" s="89" t="str">
        <f t="shared" si="6"/>
        <v>b01</v>
      </c>
      <c r="N91" s="80"/>
      <c r="O91" s="88" t="str">
        <f>IF(AND(OR(EXACT(F91,"I"),EXACT(F91,"O")),NOT(EXACT(P91,"NA"))),CONCATENATE("c_reg_test_sel_",RIGHT(IF(B91=0,LOOKUP(2,1/($B$2:B91&lt;&gt;0),$B$2:B91),B91),LEN(IF(B91=0,LOOKUP(2,1/($B$2:B91&lt;&gt;0),$B$2:B91),B91))-FIND(".",IF(B91=0,LOOKUP(2,1/($B$2:B91&lt;&gt;0),$B$2:B91),B91))),IF(0,CONCATENATE("&amp; !c_test_reg_pin_disable_",RIGHT(IF(B91=0,LOOKUP(2,1/($B$2:B91&lt;&gt;0),$B$2:B91),B91),LEN(IF(B91=0,LOOKUP(2,1/($B$2:B91&lt;&gt;0),$B$2:B91),B91))-FIND(".",IF(B91=0,LOOKUP(2,1/($B$2:B91&lt;&gt;0),$B$2:B91),B91)))),""),IF(P91,CONCATENATE("_grp_",P91),""),"/","c_pad_",RIGHT(IF(B91=0,LOOKUP(2,1/($B$2:B91&lt;&gt;0),$B$2:B91),B91),LEN(IF(B91=0,LOOKUP(2,1/($B$2:B91&lt;&gt;0),$B$2:B91),B91))-FIND(".",IF(B91=0,LOOKUP(2,1/($B$2:B91&lt;&gt;0),$B$2:B91),B91))),"_",IF(ISNUMBER(SEARCH("[",D91)),LEFT(D91,FIND("[",D91)-1),D91)),"")</f>
        <v>c_reg_test_sel_pll_inst/c_pad_pll_inst_clkout_div</v>
      </c>
      <c r="P91" s="82"/>
      <c r="Q91" s="83" t="s">
        <v>298</v>
      </c>
      <c r="R91" s="78" t="s">
        <v>266</v>
      </c>
      <c r="S91" s="78" t="s">
        <v>192</v>
      </c>
      <c r="T91" s="83"/>
    </row>
    <row r="92" ht="204.75" spans="1:20">
      <c r="A92" s="72" t="s">
        <v>245</v>
      </c>
      <c r="B92" s="83"/>
      <c r="C92" s="78" t="s">
        <v>61</v>
      </c>
      <c r="D92" s="78" t="s">
        <v>299</v>
      </c>
      <c r="E92" s="78">
        <f t="shared" ref="E92:E124" si="7">IF(AND(ISNUMBER(FIND("[",D92)),ISNUMBER(FIND("]",D92)),ISNUMBER(FIND(":",D92))),MID(D92,FIND("[",D92)+1,FIND(":",D92)-FIND("[",D92)-1)+1-MID(D92,FIND(":",D92)+1,FIND("]",D92)-FIND(":",D92)-1),IF(OR(ISNUMBER(FIND("[",D92)),ISNUMBER(FIND("]",D92)),ISNUMBER(FIND(":",D92))),"ERROR",1))</f>
        <v>3</v>
      </c>
      <c r="F92" s="98" t="s">
        <v>63</v>
      </c>
      <c r="G92" s="83"/>
      <c r="H92" s="83" t="s">
        <v>300</v>
      </c>
      <c r="I92" s="83" t="s">
        <v>65</v>
      </c>
      <c r="J92" s="80"/>
      <c r="K92" s="80"/>
      <c r="L92" s="80"/>
      <c r="M92" s="89" t="str">
        <f t="shared" si="6"/>
        <v>b101</v>
      </c>
      <c r="N92" s="80"/>
      <c r="O92" s="88" t="str">
        <f>IF(AND(OR(EXACT(F92,"I"),EXACT(F92,"O")),NOT(EXACT(P92,"NA"))),CONCATENATE("c_reg_test_sel_",RIGHT(IF(B92=0,LOOKUP(2,1/($B$2:B92&lt;&gt;0),$B$2:B92),B92),LEN(IF(B92=0,LOOKUP(2,1/($B$2:B92&lt;&gt;0),$B$2:B92),B92))-FIND(".",IF(B92=0,LOOKUP(2,1/($B$2:B92&lt;&gt;0),$B$2:B92),B92))),IF(0,CONCATENATE("&amp; !c_test_reg_pin_disable_",RIGHT(IF(B92=0,LOOKUP(2,1/($B$2:B92&lt;&gt;0),$B$2:B92),B92),LEN(IF(B92=0,LOOKUP(2,1/($B$2:B92&lt;&gt;0),$B$2:B92),B92))-FIND(".",IF(B92=0,LOOKUP(2,1/($B$2:B92&lt;&gt;0),$B$2:B92),B92)))),""),IF(P92,CONCATENATE("_grp_",P92),""),"/","c_pad_",RIGHT(IF(B92=0,LOOKUP(2,1/($B$2:B92&lt;&gt;0),$B$2:B92),B92),LEN(IF(B92=0,LOOKUP(2,1/($B$2:B92&lt;&gt;0),$B$2:B92),B92))-FIND(".",IF(B92=0,LOOKUP(2,1/($B$2:B92&lt;&gt;0),$B$2:B92),B92))),"_",IF(ISNUMBER(SEARCH("[",D92)),LEFT(D92,FIND("[",D92)-1),D92)),"")</f>
        <v/>
      </c>
      <c r="P92" s="82" t="s">
        <v>260</v>
      </c>
      <c r="Q92" s="83" t="s">
        <v>301</v>
      </c>
      <c r="R92" s="78" t="s">
        <v>266</v>
      </c>
      <c r="S92" s="78" t="s">
        <v>302</v>
      </c>
      <c r="T92" s="83"/>
    </row>
    <row r="93" ht="47.25" spans="1:20">
      <c r="A93" s="72" t="s">
        <v>245</v>
      </c>
      <c r="B93" s="83"/>
      <c r="C93" s="78" t="s">
        <v>61</v>
      </c>
      <c r="D93" s="78" t="s">
        <v>303</v>
      </c>
      <c r="E93" s="78">
        <f t="shared" si="7"/>
        <v>1</v>
      </c>
      <c r="F93" s="98" t="s">
        <v>63</v>
      </c>
      <c r="G93" s="83"/>
      <c r="H93" s="83" t="s">
        <v>64</v>
      </c>
      <c r="I93" s="83" t="s">
        <v>65</v>
      </c>
      <c r="J93" s="80"/>
      <c r="K93" s="80"/>
      <c r="L93" s="80"/>
      <c r="M93" s="89" t="str">
        <f t="shared" si="6"/>
        <v>b0</v>
      </c>
      <c r="N93" s="80"/>
      <c r="O93" s="88" t="str">
        <f>IF(AND(OR(EXACT(F93,"I"),EXACT(F93,"O")),NOT(EXACT(P93,"NA"))),CONCATENATE("c_reg_test_sel_",RIGHT(IF(B93=0,LOOKUP(2,1/($B$2:B93&lt;&gt;0),$B$2:B93),B93),LEN(IF(B93=0,LOOKUP(2,1/($B$2:B93&lt;&gt;0),$B$2:B93),B93))-FIND(".",IF(B93=0,LOOKUP(2,1/($B$2:B93&lt;&gt;0),$B$2:B93),B93))),IF(0,CONCATENATE("&amp; !c_test_reg_pin_disable_",RIGHT(IF(B93=0,LOOKUP(2,1/($B$2:B93&lt;&gt;0),$B$2:B93),B93),LEN(IF(B93=0,LOOKUP(2,1/($B$2:B93&lt;&gt;0),$B$2:B93),B93))-FIND(".",IF(B93=0,LOOKUP(2,1/($B$2:B93&lt;&gt;0),$B$2:B93),B93)))),""),IF(P93,CONCATENATE("_grp_",P93),""),"/","c_pad_",RIGHT(IF(B93=0,LOOKUP(2,1/($B$2:B93&lt;&gt;0),$B$2:B93),B93),LEN(IF(B93=0,LOOKUP(2,1/($B$2:B93&lt;&gt;0),$B$2:B93),B93))-FIND(".",IF(B93=0,LOOKUP(2,1/($B$2:B93&lt;&gt;0),$B$2:B93),B93))),"_",IF(ISNUMBER(SEARCH("[",D93)),LEFT(D93,FIND("[",D93)-1),D93)),"")</f>
        <v/>
      </c>
      <c r="P93" s="82" t="s">
        <v>260</v>
      </c>
      <c r="Q93" s="83" t="s">
        <v>304</v>
      </c>
      <c r="R93" s="78" t="s">
        <v>305</v>
      </c>
      <c r="S93" s="78" t="s">
        <v>306</v>
      </c>
      <c r="T93" s="83"/>
    </row>
    <row r="94" ht="110.25" spans="1:20">
      <c r="A94" s="72" t="s">
        <v>245</v>
      </c>
      <c r="B94" s="83"/>
      <c r="C94" s="78" t="s">
        <v>61</v>
      </c>
      <c r="D94" s="78" t="s">
        <v>307</v>
      </c>
      <c r="E94" s="78">
        <f t="shared" si="7"/>
        <v>2</v>
      </c>
      <c r="F94" s="98" t="s">
        <v>63</v>
      </c>
      <c r="G94" s="83"/>
      <c r="H94" s="83" t="s">
        <v>259</v>
      </c>
      <c r="I94" s="83" t="s">
        <v>65</v>
      </c>
      <c r="J94" s="80"/>
      <c r="K94" s="80"/>
      <c r="L94" s="80"/>
      <c r="M94" s="89" t="str">
        <f t="shared" si="6"/>
        <v>b00</v>
      </c>
      <c r="N94" s="80"/>
      <c r="O94" s="88" t="str">
        <f>IF(AND(OR(EXACT(F94,"I"),EXACT(F94,"O")),NOT(EXACT(P94,"NA"))),CONCATENATE("c_reg_test_sel_",RIGHT(IF(B94=0,LOOKUP(2,1/($B$2:B94&lt;&gt;0),$B$2:B94),B94),LEN(IF(B94=0,LOOKUP(2,1/($B$2:B94&lt;&gt;0),$B$2:B94),B94))-FIND(".",IF(B94=0,LOOKUP(2,1/($B$2:B94&lt;&gt;0),$B$2:B94),B94))),IF(0,CONCATENATE("&amp; !c_test_reg_pin_disable_",RIGHT(IF(B94=0,LOOKUP(2,1/($B$2:B94&lt;&gt;0),$B$2:B94),B94),LEN(IF(B94=0,LOOKUP(2,1/($B$2:B94&lt;&gt;0),$B$2:B94),B94))-FIND(".",IF(B94=0,LOOKUP(2,1/($B$2:B94&lt;&gt;0),$B$2:B94),B94)))),""),IF(P94,CONCATENATE("_grp_",P94),""),"/","c_pad_",RIGHT(IF(B94=0,LOOKUP(2,1/($B$2:B94&lt;&gt;0),$B$2:B94),B94),LEN(IF(B94=0,LOOKUP(2,1/($B$2:B94&lt;&gt;0),$B$2:B94),B94))-FIND(".",IF(B94=0,LOOKUP(2,1/($B$2:B94&lt;&gt;0),$B$2:B94),B94))),"_",IF(ISNUMBER(SEARCH("[",D94)),LEFT(D94,FIND("[",D94)-1),D94)),"")</f>
        <v>c_reg_test_sel_pll_inst/c_pad_pll_inst_fb_prediv</v>
      </c>
      <c r="P94" s="82"/>
      <c r="Q94" s="83" t="s">
        <v>308</v>
      </c>
      <c r="R94" s="78" t="s">
        <v>262</v>
      </c>
      <c r="S94" s="78" t="s">
        <v>309</v>
      </c>
      <c r="T94" s="83"/>
    </row>
    <row r="95" ht="63" spans="1:20">
      <c r="A95" s="72" t="s">
        <v>245</v>
      </c>
      <c r="B95" s="83"/>
      <c r="C95" s="78" t="s">
        <v>61</v>
      </c>
      <c r="D95" s="78" t="s">
        <v>310</v>
      </c>
      <c r="E95" s="78">
        <f t="shared" si="7"/>
        <v>1</v>
      </c>
      <c r="F95" s="98" t="s">
        <v>63</v>
      </c>
      <c r="G95" s="83"/>
      <c r="H95" s="83" t="s">
        <v>64</v>
      </c>
      <c r="I95" s="83" t="s">
        <v>65</v>
      </c>
      <c r="J95" s="80"/>
      <c r="K95" s="80"/>
      <c r="L95" s="80"/>
      <c r="M95" s="89" t="str">
        <f t="shared" si="6"/>
        <v>b0</v>
      </c>
      <c r="N95" s="80"/>
      <c r="O95" s="88" t="str">
        <f>IF(AND(OR(EXACT(F95,"I"),EXACT(F95,"O")),NOT(EXACT(P95,"NA"))),CONCATENATE("c_reg_test_sel_",RIGHT(IF(B95=0,LOOKUP(2,1/($B$2:B95&lt;&gt;0),$B$2:B95),B95),LEN(IF(B95=0,LOOKUP(2,1/($B$2:B95&lt;&gt;0),$B$2:B95),B95))-FIND(".",IF(B95=0,LOOKUP(2,1/($B$2:B95&lt;&gt;0),$B$2:B95),B95))),IF(0,CONCATENATE("&amp; !c_test_reg_pin_disable_",RIGHT(IF(B95=0,LOOKUP(2,1/($B$2:B95&lt;&gt;0),$B$2:B95),B95),LEN(IF(B95=0,LOOKUP(2,1/($B$2:B95&lt;&gt;0),$B$2:B95),B95))-FIND(".",IF(B95=0,LOOKUP(2,1/($B$2:B95&lt;&gt;0),$B$2:B95),B95)))),""),IF(P95,CONCATENATE("_grp_",P95),""),"/","c_pad_",RIGHT(IF(B95=0,LOOKUP(2,1/($B$2:B95&lt;&gt;0),$B$2:B95),B95),LEN(IF(B95=0,LOOKUP(2,1/($B$2:B95&lt;&gt;0),$B$2:B95),B95))-FIND(".",IF(B95=0,LOOKUP(2,1/($B$2:B95&lt;&gt;0),$B$2:B95),B95))),"_",IF(ISNUMBER(SEARCH("[",D95)),LEFT(D95,FIND("[",D95)-1),D95)),"")</f>
        <v/>
      </c>
      <c r="P95" s="82" t="s">
        <v>260</v>
      </c>
      <c r="Q95" s="83" t="s">
        <v>311</v>
      </c>
      <c r="R95" s="78" t="s">
        <v>285</v>
      </c>
      <c r="S95" s="78" t="s">
        <v>306</v>
      </c>
      <c r="T95" s="83"/>
    </row>
    <row r="96" ht="189" spans="1:20">
      <c r="A96" s="72" t="s">
        <v>245</v>
      </c>
      <c r="B96" s="83"/>
      <c r="C96" s="78" t="s">
        <v>61</v>
      </c>
      <c r="D96" s="78" t="s">
        <v>312</v>
      </c>
      <c r="E96" s="78">
        <f t="shared" si="7"/>
        <v>5</v>
      </c>
      <c r="F96" s="98" t="s">
        <v>63</v>
      </c>
      <c r="G96" s="83"/>
      <c r="H96" s="83" t="s">
        <v>313</v>
      </c>
      <c r="I96" s="83" t="s">
        <v>65</v>
      </c>
      <c r="J96" s="80"/>
      <c r="K96" s="80"/>
      <c r="L96" s="80"/>
      <c r="M96" s="89" t="str">
        <f t="shared" si="6"/>
        <v>b11111</v>
      </c>
      <c r="N96" s="80"/>
      <c r="O96" s="88" t="str">
        <f>IF(AND(OR(EXACT(F96,"I"),EXACT(F96,"O")),NOT(EXACT(P96,"NA"))),CONCATENATE("c_reg_test_sel_",RIGHT(IF(B96=0,LOOKUP(2,1/($B$2:B96&lt;&gt;0),$B$2:B96),B96),LEN(IF(B96=0,LOOKUP(2,1/($B$2:B96&lt;&gt;0),$B$2:B96),B96))-FIND(".",IF(B96=0,LOOKUP(2,1/($B$2:B96&lt;&gt;0),$B$2:B96),B96))),IF(0,CONCATENATE("&amp; !c_test_reg_pin_disable_",RIGHT(IF(B96=0,LOOKUP(2,1/($B$2:B96&lt;&gt;0),$B$2:B96),B96),LEN(IF(B96=0,LOOKUP(2,1/($B$2:B96&lt;&gt;0),$B$2:B96),B96))-FIND(".",IF(B96=0,LOOKUP(2,1/($B$2:B96&lt;&gt;0),$B$2:B96),B96)))),""),IF(P96,CONCATENATE("_grp_",P96),""),"/","c_pad_",RIGHT(IF(B96=0,LOOKUP(2,1/($B$2:B96&lt;&gt;0),$B$2:B96),B96),LEN(IF(B96=0,LOOKUP(2,1/($B$2:B96&lt;&gt;0),$B$2:B96),B96))-FIND(".",IF(B96=0,LOOKUP(2,1/($B$2:B96&lt;&gt;0),$B$2:B96),B96))),"_",IF(ISNUMBER(SEARCH("[",D96)),LEFT(D96,FIND("[",D96)-1),D96)),"")</f>
        <v>c_reg_test_sel_pll_inst/c_pad_pll_inst_reg1</v>
      </c>
      <c r="P96" s="82"/>
      <c r="Q96" s="83" t="s">
        <v>314</v>
      </c>
      <c r="R96" s="78" t="s">
        <v>315</v>
      </c>
      <c r="S96" s="78" t="s">
        <v>219</v>
      </c>
      <c r="T96" s="83"/>
    </row>
    <row r="97" ht="126" spans="1:20">
      <c r="A97" s="72" t="s">
        <v>245</v>
      </c>
      <c r="B97" s="83"/>
      <c r="C97" s="78" t="s">
        <v>61</v>
      </c>
      <c r="D97" s="78" t="s">
        <v>316</v>
      </c>
      <c r="E97" s="78">
        <f t="shared" si="7"/>
        <v>5</v>
      </c>
      <c r="F97" s="98" t="s">
        <v>63</v>
      </c>
      <c r="G97" s="83"/>
      <c r="H97" s="83" t="s">
        <v>313</v>
      </c>
      <c r="I97" s="83" t="s">
        <v>65</v>
      </c>
      <c r="J97" s="80"/>
      <c r="K97" s="80"/>
      <c r="L97" s="80"/>
      <c r="M97" s="89" t="str">
        <f t="shared" si="6"/>
        <v>b11111</v>
      </c>
      <c r="N97" s="80"/>
      <c r="O97" s="88" t="str">
        <f>IF(AND(OR(EXACT(F97,"I"),EXACT(F97,"O")),NOT(EXACT(P97,"NA"))),CONCATENATE("c_reg_test_sel_",RIGHT(IF(B97=0,LOOKUP(2,1/($B$2:B97&lt;&gt;0),$B$2:B97),B97),LEN(IF(B97=0,LOOKUP(2,1/($B$2:B97&lt;&gt;0),$B$2:B97),B97))-FIND(".",IF(B97=0,LOOKUP(2,1/($B$2:B97&lt;&gt;0),$B$2:B97),B97))),IF(0,CONCATENATE("&amp; !c_test_reg_pin_disable_",RIGHT(IF(B97=0,LOOKUP(2,1/($B$2:B97&lt;&gt;0),$B$2:B97),B97),LEN(IF(B97=0,LOOKUP(2,1/($B$2:B97&lt;&gt;0),$B$2:B97),B97))-FIND(".",IF(B97=0,LOOKUP(2,1/($B$2:B97&lt;&gt;0),$B$2:B97),B97)))),""),IF(P97,CONCATENATE("_grp_",P97),""),"/","c_pad_",RIGHT(IF(B97=0,LOOKUP(2,1/($B$2:B97&lt;&gt;0),$B$2:B97),B97),LEN(IF(B97=0,LOOKUP(2,1/($B$2:B97&lt;&gt;0),$B$2:B97),B97))-FIND(".",IF(B97=0,LOOKUP(2,1/($B$2:B97&lt;&gt;0),$B$2:B97),B97))),"_",IF(ISNUMBER(SEARCH("[",D97)),LEFT(D97,FIND("[",D97)-1),D97)),"")</f>
        <v/>
      </c>
      <c r="P97" s="82" t="s">
        <v>260</v>
      </c>
      <c r="Q97" s="83" t="s">
        <v>317</v>
      </c>
      <c r="R97" s="78" t="s">
        <v>318</v>
      </c>
      <c r="S97" s="78" t="s">
        <v>219</v>
      </c>
      <c r="T97" s="83"/>
    </row>
    <row r="98" ht="141.75" spans="1:20">
      <c r="A98" s="72" t="s">
        <v>245</v>
      </c>
      <c r="B98" s="83"/>
      <c r="C98" s="78" t="s">
        <v>61</v>
      </c>
      <c r="D98" s="78" t="s">
        <v>319</v>
      </c>
      <c r="E98" s="78">
        <f t="shared" si="7"/>
        <v>1</v>
      </c>
      <c r="F98" s="98" t="s">
        <v>63</v>
      </c>
      <c r="G98" s="83"/>
      <c r="H98" s="83" t="s">
        <v>64</v>
      </c>
      <c r="I98" s="83" t="s">
        <v>65</v>
      </c>
      <c r="J98" s="80"/>
      <c r="K98" s="80"/>
      <c r="L98" s="80"/>
      <c r="M98" s="89" t="str">
        <f t="shared" si="6"/>
        <v>b0</v>
      </c>
      <c r="N98" s="80"/>
      <c r="O98" s="88" t="str">
        <f>IF(AND(OR(EXACT(F98,"I"),EXACT(F98,"O")),NOT(EXACT(P98,"NA"))),CONCATENATE("c_reg_test_sel_",RIGHT(IF(B98=0,LOOKUP(2,1/($B$2:B98&lt;&gt;0),$B$2:B98),B98),LEN(IF(B98=0,LOOKUP(2,1/($B$2:B98&lt;&gt;0),$B$2:B98),B98))-FIND(".",IF(B98=0,LOOKUP(2,1/($B$2:B98&lt;&gt;0),$B$2:B98),B98))),IF(0,CONCATENATE("&amp; !c_test_reg_pin_disable_",RIGHT(IF(B98=0,LOOKUP(2,1/($B$2:B98&lt;&gt;0),$B$2:B98),B98),LEN(IF(B98=0,LOOKUP(2,1/($B$2:B98&lt;&gt;0),$B$2:B98),B98))-FIND(".",IF(B98=0,LOOKUP(2,1/($B$2:B98&lt;&gt;0),$B$2:B98),B98)))),""),IF(P98,CONCATENATE("_grp_",P98),""),"/","c_pad_",RIGHT(IF(B98=0,LOOKUP(2,1/($B$2:B98&lt;&gt;0),$B$2:B98),B98),LEN(IF(B98=0,LOOKUP(2,1/($B$2:B98&lt;&gt;0),$B$2:B98),B98))-FIND(".",IF(B98=0,LOOKUP(2,1/($B$2:B98&lt;&gt;0),$B$2:B98),B98))),"_",IF(ISNUMBER(SEARCH("[",D98)),LEFT(D98,FIND("[",D98)-1),D98)),"")</f>
        <v/>
      </c>
      <c r="P98" s="82" t="s">
        <v>260</v>
      </c>
      <c r="Q98" s="83" t="s">
        <v>320</v>
      </c>
      <c r="R98" s="78" t="s">
        <v>285</v>
      </c>
      <c r="S98" s="78" t="s">
        <v>321</v>
      </c>
      <c r="T98" s="83"/>
    </row>
    <row r="99" ht="63" spans="1:20">
      <c r="A99" s="72" t="s">
        <v>245</v>
      </c>
      <c r="B99" s="83"/>
      <c r="C99" s="78" t="s">
        <v>61</v>
      </c>
      <c r="D99" s="78" t="s">
        <v>322</v>
      </c>
      <c r="E99" s="78">
        <f t="shared" si="7"/>
        <v>1</v>
      </c>
      <c r="F99" s="98" t="s">
        <v>63</v>
      </c>
      <c r="G99" s="83"/>
      <c r="H99" s="83" t="s">
        <v>265</v>
      </c>
      <c r="I99" s="83" t="s">
        <v>65</v>
      </c>
      <c r="J99" s="80"/>
      <c r="K99" s="80"/>
      <c r="L99" s="80"/>
      <c r="M99" s="89" t="str">
        <f t="shared" si="6"/>
        <v>b1</v>
      </c>
      <c r="N99" s="80"/>
      <c r="O99" s="88" t="str">
        <f>IF(AND(OR(EXACT(F99,"I"),EXACT(F99,"O")),NOT(EXACT(P99,"NA"))),CONCATENATE("c_reg_test_sel_",RIGHT(IF(B99=0,LOOKUP(2,1/($B$2:B99&lt;&gt;0),$B$2:B99),B99),LEN(IF(B99=0,LOOKUP(2,1/($B$2:B99&lt;&gt;0),$B$2:B99),B99))-FIND(".",IF(B99=0,LOOKUP(2,1/($B$2:B99&lt;&gt;0),$B$2:B99),B99))),IF(0,CONCATENATE("&amp; !c_test_reg_pin_disable_",RIGHT(IF(B99=0,LOOKUP(2,1/($B$2:B99&lt;&gt;0),$B$2:B99),B99),LEN(IF(B99=0,LOOKUP(2,1/($B$2:B99&lt;&gt;0),$B$2:B99),B99))-FIND(".",IF(B99=0,LOOKUP(2,1/($B$2:B99&lt;&gt;0),$B$2:B99),B99)))),""),IF(P99,CONCATENATE("_grp_",P99),""),"/","c_pad_",RIGHT(IF(B99=0,LOOKUP(2,1/($B$2:B99&lt;&gt;0),$B$2:B99),B99),LEN(IF(B99=0,LOOKUP(2,1/($B$2:B99&lt;&gt;0),$B$2:B99),B99))-FIND(".",IF(B99=0,LOOKUP(2,1/($B$2:B99&lt;&gt;0),$B$2:B99),B99))),"_",IF(ISNUMBER(SEARCH("[",D99)),LEFT(D99,FIND("[",D99)-1),D99)),"")</f>
        <v/>
      </c>
      <c r="P99" s="82" t="s">
        <v>260</v>
      </c>
      <c r="Q99" s="83" t="s">
        <v>323</v>
      </c>
      <c r="R99" s="78" t="s">
        <v>285</v>
      </c>
      <c r="S99" s="78" t="s">
        <v>180</v>
      </c>
      <c r="T99" s="83"/>
    </row>
    <row r="100" ht="63" spans="1:20">
      <c r="A100" s="72" t="s">
        <v>245</v>
      </c>
      <c r="B100" s="83"/>
      <c r="C100" s="78" t="s">
        <v>61</v>
      </c>
      <c r="D100" s="78" t="s">
        <v>324</v>
      </c>
      <c r="E100" s="78">
        <f t="shared" si="7"/>
        <v>1</v>
      </c>
      <c r="F100" s="98" t="s">
        <v>63</v>
      </c>
      <c r="G100" s="83"/>
      <c r="H100" s="83" t="s">
        <v>265</v>
      </c>
      <c r="I100" s="83" t="s">
        <v>65</v>
      </c>
      <c r="J100" s="80"/>
      <c r="K100" s="80"/>
      <c r="L100" s="80"/>
      <c r="M100" s="89" t="str">
        <f t="shared" si="6"/>
        <v>b1</v>
      </c>
      <c r="N100" s="80"/>
      <c r="O100" s="88" t="str">
        <f>IF(AND(OR(EXACT(F100,"I"),EXACT(F100,"O")),NOT(EXACT(P100,"NA"))),CONCATENATE("c_reg_test_sel_",RIGHT(IF(B100=0,LOOKUP(2,1/($B$2:B100&lt;&gt;0),$B$2:B100),B100),LEN(IF(B100=0,LOOKUP(2,1/($B$2:B100&lt;&gt;0),$B$2:B100),B100))-FIND(".",IF(B100=0,LOOKUP(2,1/($B$2:B100&lt;&gt;0),$B$2:B100),B100))),IF(0,CONCATENATE("&amp; !c_test_reg_pin_disable_",RIGHT(IF(B100=0,LOOKUP(2,1/($B$2:B100&lt;&gt;0),$B$2:B100),B100),LEN(IF(B100=0,LOOKUP(2,1/($B$2:B100&lt;&gt;0),$B$2:B100),B100))-FIND(".",IF(B100=0,LOOKUP(2,1/($B$2:B100&lt;&gt;0),$B$2:B100),B100)))),""),IF(P100,CONCATENATE("_grp_",P100),""),"/","c_pad_",RIGHT(IF(B100=0,LOOKUP(2,1/($B$2:B100&lt;&gt;0),$B$2:B100),B100),LEN(IF(B100=0,LOOKUP(2,1/($B$2:B100&lt;&gt;0),$B$2:B100),B100))-FIND(".",IF(B100=0,LOOKUP(2,1/($B$2:B100&lt;&gt;0),$B$2:B100),B100))),"_",IF(ISNUMBER(SEARCH("[",D100)),LEFT(D100,FIND("[",D100)-1),D100)),"")</f>
        <v/>
      </c>
      <c r="P100" s="82" t="s">
        <v>260</v>
      </c>
      <c r="Q100" s="83" t="s">
        <v>325</v>
      </c>
      <c r="R100" s="78" t="s">
        <v>285</v>
      </c>
      <c r="S100" s="78" t="s">
        <v>326</v>
      </c>
      <c r="T100" s="83"/>
    </row>
    <row r="101" ht="47.25" spans="1:20">
      <c r="A101" s="72" t="s">
        <v>245</v>
      </c>
      <c r="B101" s="83"/>
      <c r="C101" s="78" t="s">
        <v>61</v>
      </c>
      <c r="D101" s="78" t="s">
        <v>327</v>
      </c>
      <c r="E101" s="78">
        <f t="shared" si="7"/>
        <v>1</v>
      </c>
      <c r="F101" s="98" t="s">
        <v>63</v>
      </c>
      <c r="G101" s="83"/>
      <c r="H101" s="83" t="s">
        <v>64</v>
      </c>
      <c r="I101" s="83" t="s">
        <v>65</v>
      </c>
      <c r="J101" s="80"/>
      <c r="K101" s="80"/>
      <c r="L101" s="80"/>
      <c r="M101" s="89" t="str">
        <f t="shared" si="6"/>
        <v>b0</v>
      </c>
      <c r="N101" s="80"/>
      <c r="O101" s="88" t="str">
        <f>IF(AND(OR(EXACT(F101,"I"),EXACT(F101,"O")),NOT(EXACT(P101,"NA"))),CONCATENATE("c_reg_test_sel_",RIGHT(IF(B101=0,LOOKUP(2,1/($B$2:B101&lt;&gt;0),$B$2:B101),B101),LEN(IF(B101=0,LOOKUP(2,1/($B$2:B101&lt;&gt;0),$B$2:B101),B101))-FIND(".",IF(B101=0,LOOKUP(2,1/($B$2:B101&lt;&gt;0),$B$2:B101),B101))),IF(0,CONCATENATE("&amp; !c_test_reg_pin_disable_",RIGHT(IF(B101=0,LOOKUP(2,1/($B$2:B101&lt;&gt;0),$B$2:B101),B101),LEN(IF(B101=0,LOOKUP(2,1/($B$2:B101&lt;&gt;0),$B$2:B101),B101))-FIND(".",IF(B101=0,LOOKUP(2,1/($B$2:B101&lt;&gt;0),$B$2:B101),B101)))),""),IF(P101,CONCATENATE("_grp_",P101),""),"/","c_pad_",RIGHT(IF(B101=0,LOOKUP(2,1/($B$2:B101&lt;&gt;0),$B$2:B101),B101),LEN(IF(B101=0,LOOKUP(2,1/($B$2:B101&lt;&gt;0),$B$2:B101),B101))-FIND(".",IF(B101=0,LOOKUP(2,1/($B$2:B101&lt;&gt;0),$B$2:B101),B101))),"_",IF(ISNUMBER(SEARCH("[",D101)),LEFT(D101,FIND("[",D101)-1),D101)),"")</f>
        <v/>
      </c>
      <c r="P101" s="82" t="s">
        <v>260</v>
      </c>
      <c r="Q101" s="83" t="s">
        <v>328</v>
      </c>
      <c r="R101" s="78" t="s">
        <v>285</v>
      </c>
      <c r="S101" s="78" t="s">
        <v>177</v>
      </c>
      <c r="T101" s="83"/>
    </row>
    <row r="102" ht="141.75" spans="1:20">
      <c r="A102" s="72" t="s">
        <v>245</v>
      </c>
      <c r="B102" s="83"/>
      <c r="C102" s="78" t="s">
        <v>61</v>
      </c>
      <c r="D102" s="78" t="s">
        <v>329</v>
      </c>
      <c r="E102" s="78">
        <f t="shared" si="7"/>
        <v>3</v>
      </c>
      <c r="F102" s="98" t="s">
        <v>63</v>
      </c>
      <c r="G102" s="83"/>
      <c r="H102" s="83" t="s">
        <v>111</v>
      </c>
      <c r="I102" s="83" t="s">
        <v>65</v>
      </c>
      <c r="J102" s="80"/>
      <c r="K102" s="80"/>
      <c r="L102" s="80"/>
      <c r="M102" s="89" t="str">
        <f t="shared" si="6"/>
        <v>b100</v>
      </c>
      <c r="N102" s="80"/>
      <c r="O102" s="88" t="str">
        <f>IF(AND(OR(EXACT(F102,"I"),EXACT(F102,"O")),NOT(EXACT(P102,"NA"))),CONCATENATE("c_reg_test_sel_",RIGHT(IF(B102=0,LOOKUP(2,1/($B$2:B102&lt;&gt;0),$B$2:B102),B102),LEN(IF(B102=0,LOOKUP(2,1/($B$2:B102&lt;&gt;0),$B$2:B102),B102))-FIND(".",IF(B102=0,LOOKUP(2,1/($B$2:B102&lt;&gt;0),$B$2:B102),B102))),IF(0,CONCATENATE("&amp; !c_test_reg_pin_disable_",RIGHT(IF(B102=0,LOOKUP(2,1/($B$2:B102&lt;&gt;0),$B$2:B102),B102),LEN(IF(B102=0,LOOKUP(2,1/($B$2:B102&lt;&gt;0),$B$2:B102),B102))-FIND(".",IF(B102=0,LOOKUP(2,1/($B$2:B102&lt;&gt;0),$B$2:B102),B102)))),""),IF(P102,CONCATENATE("_grp_",P102),""),"/","c_pad_",RIGHT(IF(B102=0,LOOKUP(2,1/($B$2:B102&lt;&gt;0),$B$2:B102),B102),LEN(IF(B102=0,LOOKUP(2,1/($B$2:B102&lt;&gt;0),$B$2:B102),B102))-FIND(".",IF(B102=0,LOOKUP(2,1/($B$2:B102&lt;&gt;0),$B$2:B102),B102))),"_",IF(ISNUMBER(SEARCH("[",D102)),LEFT(D102,FIND("[",D102)-1),D102)),"")</f>
        <v/>
      </c>
      <c r="P102" s="82" t="s">
        <v>260</v>
      </c>
      <c r="Q102" s="83" t="s">
        <v>330</v>
      </c>
      <c r="R102" s="78" t="s">
        <v>305</v>
      </c>
      <c r="S102" s="78" t="s">
        <v>228</v>
      </c>
      <c r="T102" s="83"/>
    </row>
    <row r="103" ht="141.75" spans="1:20">
      <c r="A103" s="72" t="s">
        <v>245</v>
      </c>
      <c r="B103" s="83"/>
      <c r="C103" s="78" t="s">
        <v>61</v>
      </c>
      <c r="D103" s="78" t="s">
        <v>331</v>
      </c>
      <c r="E103" s="78">
        <f t="shared" si="7"/>
        <v>3</v>
      </c>
      <c r="F103" s="98" t="s">
        <v>63</v>
      </c>
      <c r="G103" s="83"/>
      <c r="H103" s="83" t="s">
        <v>111</v>
      </c>
      <c r="I103" s="83" t="s">
        <v>65</v>
      </c>
      <c r="J103" s="80"/>
      <c r="K103" s="80"/>
      <c r="L103" s="80"/>
      <c r="M103" s="89" t="str">
        <f t="shared" si="6"/>
        <v>b100</v>
      </c>
      <c r="N103" s="80"/>
      <c r="O103" s="88" t="str">
        <f>IF(AND(OR(EXACT(F103,"I"),EXACT(F103,"O")),NOT(EXACT(P103,"NA"))),CONCATENATE("c_reg_test_sel_",RIGHT(IF(B103=0,LOOKUP(2,1/($B$2:B103&lt;&gt;0),$B$2:B103),B103),LEN(IF(B103=0,LOOKUP(2,1/($B$2:B103&lt;&gt;0),$B$2:B103),B103))-FIND(".",IF(B103=0,LOOKUP(2,1/($B$2:B103&lt;&gt;0),$B$2:B103),B103))),IF(0,CONCATENATE("&amp; !c_test_reg_pin_disable_",RIGHT(IF(B103=0,LOOKUP(2,1/($B$2:B103&lt;&gt;0),$B$2:B103),B103),LEN(IF(B103=0,LOOKUP(2,1/($B$2:B103&lt;&gt;0),$B$2:B103),B103))-FIND(".",IF(B103=0,LOOKUP(2,1/($B$2:B103&lt;&gt;0),$B$2:B103),B103)))),""),IF(P103,CONCATENATE("_grp_",P103),""),"/","c_pad_",RIGHT(IF(B103=0,LOOKUP(2,1/($B$2:B103&lt;&gt;0),$B$2:B103),B103),LEN(IF(B103=0,LOOKUP(2,1/($B$2:B103&lt;&gt;0),$B$2:B103),B103))-FIND(".",IF(B103=0,LOOKUP(2,1/($B$2:B103&lt;&gt;0),$B$2:B103),B103))),"_",IF(ISNUMBER(SEARCH("[",D103)),LEFT(D103,FIND("[",D103)-1),D103)),"")</f>
        <v>c_reg_test_sel_pll_inst/c_pad_pll_inst_reg4</v>
      </c>
      <c r="P103" s="82"/>
      <c r="Q103" s="83" t="s">
        <v>332</v>
      </c>
      <c r="R103" s="78" t="s">
        <v>333</v>
      </c>
      <c r="S103" s="78" t="s">
        <v>228</v>
      </c>
      <c r="T103" s="83"/>
    </row>
    <row r="104" ht="157.5" spans="1:20">
      <c r="A104" s="72" t="s">
        <v>245</v>
      </c>
      <c r="B104" s="83"/>
      <c r="C104" s="78" t="s">
        <v>61</v>
      </c>
      <c r="D104" s="78" t="s">
        <v>334</v>
      </c>
      <c r="E104" s="78">
        <f t="shared" si="7"/>
        <v>8</v>
      </c>
      <c r="F104" s="98" t="s">
        <v>63</v>
      </c>
      <c r="G104" s="83"/>
      <c r="H104" s="83" t="s">
        <v>225</v>
      </c>
      <c r="I104" s="83" t="s">
        <v>65</v>
      </c>
      <c r="J104" s="80"/>
      <c r="K104" s="80"/>
      <c r="L104" s="80"/>
      <c r="M104" s="89" t="str">
        <f t="shared" si="6"/>
        <v>b011</v>
      </c>
      <c r="N104" s="80"/>
      <c r="O104" s="88" t="str">
        <f>IF(AND(OR(EXACT(F104,"I"),EXACT(F104,"O")),NOT(EXACT(P104,"NA"))),CONCATENATE("c_reg_test_sel_",RIGHT(IF(B104=0,LOOKUP(2,1/($B$2:B104&lt;&gt;0),$B$2:B104),B104),LEN(IF(B104=0,LOOKUP(2,1/($B$2:B104&lt;&gt;0),$B$2:B104),B104))-FIND(".",IF(B104=0,LOOKUP(2,1/($B$2:B104&lt;&gt;0),$B$2:B104),B104))),IF(0,CONCATENATE("&amp; !c_test_reg_pin_disable_",RIGHT(IF(B104=0,LOOKUP(2,1/($B$2:B104&lt;&gt;0),$B$2:B104),B104),LEN(IF(B104=0,LOOKUP(2,1/($B$2:B104&lt;&gt;0),$B$2:B104),B104))-FIND(".",IF(B104=0,LOOKUP(2,1/($B$2:B104&lt;&gt;0),$B$2:B104),B104)))),""),IF(P104,CONCATENATE("_grp_",P104),""),"/","c_pad_",RIGHT(IF(B104=0,LOOKUP(2,1/($B$2:B104&lt;&gt;0),$B$2:B104),B104),LEN(IF(B104=0,LOOKUP(2,1/($B$2:B104&lt;&gt;0),$B$2:B104),B104))-FIND(".",IF(B104=0,LOOKUP(2,1/($B$2:B104&lt;&gt;0),$B$2:B104),B104))),"_",IF(ISNUMBER(SEARCH("[",D104)),LEFT(D104,FIND("[",D104)-1),D104)),"")</f>
        <v>c_reg_test_sel_pll_inst/c_pad_pll_inst_reg_ldo</v>
      </c>
      <c r="P104" s="82"/>
      <c r="Q104" s="83" t="s">
        <v>335</v>
      </c>
      <c r="R104" s="78" t="s">
        <v>285</v>
      </c>
      <c r="S104" s="78" t="s">
        <v>336</v>
      </c>
      <c r="T104" s="83"/>
    </row>
    <row r="105" ht="47.25" spans="1:20">
      <c r="A105" s="72" t="s">
        <v>245</v>
      </c>
      <c r="B105" s="83"/>
      <c r="C105" s="78" t="s">
        <v>61</v>
      </c>
      <c r="D105" s="78" t="s">
        <v>337</v>
      </c>
      <c r="E105" s="78">
        <f t="shared" si="7"/>
        <v>1</v>
      </c>
      <c r="F105" s="98" t="s">
        <v>63</v>
      </c>
      <c r="G105" s="83"/>
      <c r="H105" s="83" t="s">
        <v>64</v>
      </c>
      <c r="I105" s="83" t="s">
        <v>65</v>
      </c>
      <c r="J105" s="80"/>
      <c r="K105" s="80"/>
      <c r="L105" s="80"/>
      <c r="M105" s="89" t="str">
        <f t="shared" si="6"/>
        <v>b0</v>
      </c>
      <c r="N105" s="80"/>
      <c r="O105" s="88" t="str">
        <f>IF(AND(OR(EXACT(F105,"I"),EXACT(F105,"O")),NOT(EXACT(P105,"NA"))),CONCATENATE("c_reg_test_sel_",RIGHT(IF(B105=0,LOOKUP(2,1/($B$2:B105&lt;&gt;0),$B$2:B105),B105),LEN(IF(B105=0,LOOKUP(2,1/($B$2:B105&lt;&gt;0),$B$2:B105),B105))-FIND(".",IF(B105=0,LOOKUP(2,1/($B$2:B105&lt;&gt;0),$B$2:B105),B105))),IF(0,CONCATENATE("&amp; !c_test_reg_pin_disable_",RIGHT(IF(B105=0,LOOKUP(2,1/($B$2:B105&lt;&gt;0),$B$2:B105),B105),LEN(IF(B105=0,LOOKUP(2,1/($B$2:B105&lt;&gt;0),$B$2:B105),B105))-FIND(".",IF(B105=0,LOOKUP(2,1/($B$2:B105&lt;&gt;0),$B$2:B105),B105)))),""),IF(P105,CONCATENATE("_grp_",P105),""),"/","c_pad_",RIGHT(IF(B105=0,LOOKUP(2,1/($B$2:B105&lt;&gt;0),$B$2:B105),B105),LEN(IF(B105=0,LOOKUP(2,1/($B$2:B105&lt;&gt;0),$B$2:B105),B105))-FIND(".",IF(B105=0,LOOKUP(2,1/($B$2:B105&lt;&gt;0),$B$2:B105),B105))),"_",IF(ISNUMBER(SEARCH("[",D105)),LEFT(D105,FIND("[",D105)-1),D105)),"")</f>
        <v/>
      </c>
      <c r="P105" s="82" t="s">
        <v>260</v>
      </c>
      <c r="Q105" s="83" t="s">
        <v>338</v>
      </c>
      <c r="R105" s="78" t="s">
        <v>262</v>
      </c>
      <c r="S105" s="78" t="s">
        <v>326</v>
      </c>
      <c r="T105" s="83"/>
    </row>
    <row r="106" spans="1:20">
      <c r="A106" s="72" t="s">
        <v>245</v>
      </c>
      <c r="B106" s="83"/>
      <c r="C106" s="78" t="s">
        <v>61</v>
      </c>
      <c r="D106" s="78" t="s">
        <v>339</v>
      </c>
      <c r="E106" s="78">
        <f t="shared" si="7"/>
        <v>1</v>
      </c>
      <c r="F106" s="98" t="s">
        <v>63</v>
      </c>
      <c r="G106" s="83"/>
      <c r="H106" s="83" t="s">
        <v>64</v>
      </c>
      <c r="I106" s="83" t="s">
        <v>65</v>
      </c>
      <c r="J106" s="80"/>
      <c r="K106" s="80"/>
      <c r="L106" s="80"/>
      <c r="M106" s="89" t="str">
        <f t="shared" si="6"/>
        <v>b0</v>
      </c>
      <c r="N106" s="80"/>
      <c r="O106" s="88" t="str">
        <f>IF(AND(OR(EXACT(F106,"I"),EXACT(F106,"O")),NOT(EXACT(P106,"NA"))),CONCATENATE("c_reg_test_sel_",RIGHT(IF(B106=0,LOOKUP(2,1/($B$2:B106&lt;&gt;0),$B$2:B106),B106),LEN(IF(B106=0,LOOKUP(2,1/($B$2:B106&lt;&gt;0),$B$2:B106),B106))-FIND(".",IF(B106=0,LOOKUP(2,1/($B$2:B106&lt;&gt;0),$B$2:B106),B106))),IF(0,CONCATENATE("&amp; !c_test_reg_pin_disable_",RIGHT(IF(B106=0,LOOKUP(2,1/($B$2:B106&lt;&gt;0),$B$2:B106),B106),LEN(IF(B106=0,LOOKUP(2,1/($B$2:B106&lt;&gt;0),$B$2:B106),B106))-FIND(".",IF(B106=0,LOOKUP(2,1/($B$2:B106&lt;&gt;0),$B$2:B106),B106)))),""),IF(P106,CONCATENATE("_grp_",P106),""),"/","c_pad_",RIGHT(IF(B106=0,LOOKUP(2,1/($B$2:B106&lt;&gt;0),$B$2:B106),B106),LEN(IF(B106=0,LOOKUP(2,1/($B$2:B106&lt;&gt;0),$B$2:B106),B106))-FIND(".",IF(B106=0,LOOKUP(2,1/($B$2:B106&lt;&gt;0),$B$2:B106),B106))),"_",IF(ISNUMBER(SEARCH("[",D106)),LEFT(D106,FIND("[",D106)-1),D106)),"")</f>
        <v/>
      </c>
      <c r="P106" s="82" t="s">
        <v>260</v>
      </c>
      <c r="Q106" s="83"/>
      <c r="R106" s="78" t="s">
        <v>262</v>
      </c>
      <c r="S106" s="78" t="s">
        <v>321</v>
      </c>
      <c r="T106" s="83"/>
    </row>
    <row r="107" ht="94.5" spans="1:20">
      <c r="A107" s="72" t="s">
        <v>245</v>
      </c>
      <c r="B107" s="83"/>
      <c r="C107" s="78" t="s">
        <v>61</v>
      </c>
      <c r="D107" s="78" t="s">
        <v>340</v>
      </c>
      <c r="E107" s="78">
        <f t="shared" si="7"/>
        <v>7</v>
      </c>
      <c r="F107" s="98" t="s">
        <v>63</v>
      </c>
      <c r="G107" s="83"/>
      <c r="H107" s="83" t="s">
        <v>341</v>
      </c>
      <c r="I107" s="83" t="s">
        <v>65</v>
      </c>
      <c r="J107" s="80"/>
      <c r="K107" s="80"/>
      <c r="L107" s="80"/>
      <c r="M107" s="89" t="str">
        <f t="shared" si="6"/>
        <v>b0000000</v>
      </c>
      <c r="N107" s="80"/>
      <c r="O107" s="88" t="str">
        <f>IF(AND(OR(EXACT(F107,"I"),EXACT(F107,"O")),NOT(EXACT(P107,"NA"))),CONCATENATE("c_reg_test_sel_",RIGHT(IF(B107=0,LOOKUP(2,1/($B$2:B107&lt;&gt;0),$B$2:B107),B107),LEN(IF(B107=0,LOOKUP(2,1/($B$2:B107&lt;&gt;0),$B$2:B107),B107))-FIND(".",IF(B107=0,LOOKUP(2,1/($B$2:B107&lt;&gt;0),$B$2:B107),B107))),IF(0,CONCATENATE("&amp; !c_test_reg_pin_disable_",RIGHT(IF(B107=0,LOOKUP(2,1/($B$2:B107&lt;&gt;0),$B$2:B107),B107),LEN(IF(B107=0,LOOKUP(2,1/($B$2:B107&lt;&gt;0),$B$2:B107),B107))-FIND(".",IF(B107=0,LOOKUP(2,1/($B$2:B107&lt;&gt;0),$B$2:B107),B107)))),""),IF(P107,CONCATENATE("_grp_",P107),""),"/","c_pad_",RIGHT(IF(B107=0,LOOKUP(2,1/($B$2:B107&lt;&gt;0),$B$2:B107),B107),LEN(IF(B107=0,LOOKUP(2,1/($B$2:B107&lt;&gt;0),$B$2:B107),B107))-FIND(".",IF(B107=0,LOOKUP(2,1/($B$2:B107&lt;&gt;0),$B$2:B107),B107))),"_",IF(ISNUMBER(SEARCH("[",D107)),LEFT(D107,FIND("[",D107)-1),D107)),"")</f>
        <v/>
      </c>
      <c r="P107" s="82" t="s">
        <v>260</v>
      </c>
      <c r="Q107" s="83" t="s">
        <v>342</v>
      </c>
      <c r="R107" s="78" t="s">
        <v>343</v>
      </c>
      <c r="S107" s="78" t="s">
        <v>344</v>
      </c>
      <c r="T107" s="83"/>
    </row>
    <row r="108" ht="173.25" spans="1:20">
      <c r="A108" s="72" t="s">
        <v>245</v>
      </c>
      <c r="B108" s="83"/>
      <c r="C108" s="78" t="s">
        <v>61</v>
      </c>
      <c r="D108" s="78" t="s">
        <v>345</v>
      </c>
      <c r="E108" s="78">
        <f t="shared" si="7"/>
        <v>21</v>
      </c>
      <c r="F108" s="98" t="s">
        <v>63</v>
      </c>
      <c r="G108" s="83"/>
      <c r="H108" s="83" t="s">
        <v>346</v>
      </c>
      <c r="I108" s="83" t="s">
        <v>65</v>
      </c>
      <c r="J108" s="80"/>
      <c r="K108" s="80"/>
      <c r="L108" s="80"/>
      <c r="M108" s="89" t="str">
        <f t="shared" si="6"/>
        <v>b000000000000000000000</v>
      </c>
      <c r="N108" s="80"/>
      <c r="O108" s="88" t="str">
        <f>IF(AND(OR(EXACT(F108,"I"),EXACT(F108,"O")),NOT(EXACT(P108,"NA"))),CONCATENATE("c_reg_test_sel_",RIGHT(IF(B108=0,LOOKUP(2,1/($B$2:B108&lt;&gt;0),$B$2:B108),B108),LEN(IF(B108=0,LOOKUP(2,1/($B$2:B108&lt;&gt;0),$B$2:B108),B108))-FIND(".",IF(B108=0,LOOKUP(2,1/($B$2:B108&lt;&gt;0),$B$2:B108),B108))),IF(0,CONCATENATE("&amp; !c_test_reg_pin_disable_",RIGHT(IF(B108=0,LOOKUP(2,1/($B$2:B108&lt;&gt;0),$B$2:B108),B108),LEN(IF(B108=0,LOOKUP(2,1/($B$2:B108&lt;&gt;0),$B$2:B108),B108))-FIND(".",IF(B108=0,LOOKUP(2,1/($B$2:B108&lt;&gt;0),$B$2:B108),B108)))),""),IF(P108,CONCATENATE("_grp_",P108),""),"/","c_pad_",RIGHT(IF(B108=0,LOOKUP(2,1/($B$2:B108&lt;&gt;0),$B$2:B108),B108),LEN(IF(B108=0,LOOKUP(2,1/($B$2:B108&lt;&gt;0),$B$2:B108),B108))-FIND(".",IF(B108=0,LOOKUP(2,1/($B$2:B108&lt;&gt;0),$B$2:B108),B108))),"_",IF(ISNUMBER(SEARCH("[",D108)),LEFT(D108,FIND("[",D108)-1),D108)),"")</f>
        <v/>
      </c>
      <c r="P108" s="82" t="s">
        <v>260</v>
      </c>
      <c r="Q108" s="83" t="s">
        <v>347</v>
      </c>
      <c r="R108" s="78" t="s">
        <v>348</v>
      </c>
      <c r="S108" s="78" t="s">
        <v>349</v>
      </c>
      <c r="T108" s="83"/>
    </row>
    <row r="109" ht="141.75" spans="1:20">
      <c r="A109" s="72" t="s">
        <v>245</v>
      </c>
      <c r="B109" s="83"/>
      <c r="C109" s="78" t="s">
        <v>61</v>
      </c>
      <c r="D109" s="78" t="s">
        <v>350</v>
      </c>
      <c r="E109" s="78">
        <f t="shared" si="7"/>
        <v>19</v>
      </c>
      <c r="F109" s="98" t="s">
        <v>63</v>
      </c>
      <c r="G109" s="83"/>
      <c r="H109" s="83" t="s">
        <v>351</v>
      </c>
      <c r="I109" s="83" t="s">
        <v>65</v>
      </c>
      <c r="J109" s="80"/>
      <c r="K109" s="80"/>
      <c r="L109" s="80"/>
      <c r="M109" s="89" t="str">
        <f t="shared" si="6"/>
        <v>b0000000000000000000</v>
      </c>
      <c r="N109" s="80"/>
      <c r="O109" s="88" t="str">
        <f>IF(AND(OR(EXACT(F109,"I"),EXACT(F109,"O")),NOT(EXACT(P109,"NA"))),CONCATENATE("c_reg_test_sel_",RIGHT(IF(B109=0,LOOKUP(2,1/($B$2:B109&lt;&gt;0),$B$2:B109),B109),LEN(IF(B109=0,LOOKUP(2,1/($B$2:B109&lt;&gt;0),$B$2:B109),B109))-FIND(".",IF(B109=0,LOOKUP(2,1/($B$2:B109&lt;&gt;0),$B$2:B109),B109))),IF(0,CONCATENATE("&amp; !c_test_reg_pin_disable_",RIGHT(IF(B109=0,LOOKUP(2,1/($B$2:B109&lt;&gt;0),$B$2:B109),B109),LEN(IF(B109=0,LOOKUP(2,1/($B$2:B109&lt;&gt;0),$B$2:B109),B109))-FIND(".",IF(B109=0,LOOKUP(2,1/($B$2:B109&lt;&gt;0),$B$2:B109),B109)))),""),IF(P109,CONCATENATE("_grp_",P109),""),"/","c_pad_",RIGHT(IF(B109=0,LOOKUP(2,1/($B$2:B109&lt;&gt;0),$B$2:B109),B109),LEN(IF(B109=0,LOOKUP(2,1/($B$2:B109&lt;&gt;0),$B$2:B109),B109))-FIND(".",IF(B109=0,LOOKUP(2,1/($B$2:B109&lt;&gt;0),$B$2:B109),B109))),"_",IF(ISNUMBER(SEARCH("[",D109)),LEFT(D109,FIND("[",D109)-1),D109)),"")</f>
        <v/>
      </c>
      <c r="P109" s="82" t="s">
        <v>260</v>
      </c>
      <c r="Q109" s="83" t="s">
        <v>352</v>
      </c>
      <c r="R109" s="78" t="s">
        <v>353</v>
      </c>
      <c r="S109" s="78" t="s">
        <v>354</v>
      </c>
      <c r="T109" s="83"/>
    </row>
    <row r="110" ht="78.75" spans="1:20">
      <c r="A110" s="72" t="s">
        <v>245</v>
      </c>
      <c r="B110" s="83"/>
      <c r="C110" s="78" t="s">
        <v>61</v>
      </c>
      <c r="D110" s="78" t="s">
        <v>355</v>
      </c>
      <c r="E110" s="78">
        <f t="shared" si="7"/>
        <v>10</v>
      </c>
      <c r="F110" s="98" t="s">
        <v>63</v>
      </c>
      <c r="G110" s="83"/>
      <c r="H110" s="83" t="s">
        <v>356</v>
      </c>
      <c r="I110" s="83" t="s">
        <v>65</v>
      </c>
      <c r="J110" s="80"/>
      <c r="K110" s="80"/>
      <c r="L110" s="80"/>
      <c r="M110" s="89" t="str">
        <f t="shared" si="6"/>
        <v>b0000000000</v>
      </c>
      <c r="N110" s="80"/>
      <c r="O110" s="88" t="str">
        <f>IF(AND(OR(EXACT(F110,"I"),EXACT(F110,"O")),NOT(EXACT(P110,"NA"))),CONCATENATE("c_reg_test_sel_",RIGHT(IF(B110=0,LOOKUP(2,1/($B$2:B110&lt;&gt;0),$B$2:B110),B110),LEN(IF(B110=0,LOOKUP(2,1/($B$2:B110&lt;&gt;0),$B$2:B110),B110))-FIND(".",IF(B110=0,LOOKUP(2,1/($B$2:B110&lt;&gt;0),$B$2:B110),B110))),IF(0,CONCATENATE("&amp; !c_test_reg_pin_disable_",RIGHT(IF(B110=0,LOOKUP(2,1/($B$2:B110&lt;&gt;0),$B$2:B110),B110),LEN(IF(B110=0,LOOKUP(2,1/($B$2:B110&lt;&gt;0),$B$2:B110),B110))-FIND(".",IF(B110=0,LOOKUP(2,1/($B$2:B110&lt;&gt;0),$B$2:B110),B110)))),""),IF(P110,CONCATENATE("_grp_",P110),""),"/","c_pad_",RIGHT(IF(B110=0,LOOKUP(2,1/($B$2:B110&lt;&gt;0),$B$2:B110),B110),LEN(IF(B110=0,LOOKUP(2,1/($B$2:B110&lt;&gt;0),$B$2:B110),B110))-FIND(".",IF(B110=0,LOOKUP(2,1/($B$2:B110&lt;&gt;0),$B$2:B110),B110))),"_",IF(ISNUMBER(SEARCH("[",D110)),LEFT(D110,FIND("[",D110)-1),D110)),"")</f>
        <v/>
      </c>
      <c r="P110" s="82" t="s">
        <v>260</v>
      </c>
      <c r="Q110" s="83" t="s">
        <v>357</v>
      </c>
      <c r="R110" s="78" t="s">
        <v>358</v>
      </c>
      <c r="S110" s="78" t="s">
        <v>359</v>
      </c>
      <c r="T110" s="83"/>
    </row>
    <row r="111" ht="78.75" spans="1:20">
      <c r="A111" s="72" t="s">
        <v>245</v>
      </c>
      <c r="B111" s="83"/>
      <c r="C111" s="78" t="s">
        <v>61</v>
      </c>
      <c r="D111" s="78" t="s">
        <v>360</v>
      </c>
      <c r="E111" s="78">
        <f t="shared" si="7"/>
        <v>1</v>
      </c>
      <c r="F111" s="98" t="s">
        <v>63</v>
      </c>
      <c r="G111" s="83"/>
      <c r="H111" s="83" t="s">
        <v>64</v>
      </c>
      <c r="I111" s="83" t="s">
        <v>65</v>
      </c>
      <c r="J111" s="80"/>
      <c r="K111" s="80"/>
      <c r="L111" s="80"/>
      <c r="M111" s="89" t="str">
        <f t="shared" si="6"/>
        <v>b0</v>
      </c>
      <c r="N111" s="80"/>
      <c r="O111" s="88" t="str">
        <f>IF(AND(OR(EXACT(F111,"I"),EXACT(F111,"O")),NOT(EXACT(P111,"NA"))),CONCATENATE("c_reg_test_sel_",RIGHT(IF(B111=0,LOOKUP(2,1/($B$2:B111&lt;&gt;0),$B$2:B111),B111),LEN(IF(B111=0,LOOKUP(2,1/($B$2:B111&lt;&gt;0),$B$2:B111),B111))-FIND(".",IF(B111=0,LOOKUP(2,1/($B$2:B111&lt;&gt;0),$B$2:B111),B111))),IF(0,CONCATENATE("&amp; !c_test_reg_pin_disable_",RIGHT(IF(B111=0,LOOKUP(2,1/($B$2:B111&lt;&gt;0),$B$2:B111),B111),LEN(IF(B111=0,LOOKUP(2,1/($B$2:B111&lt;&gt;0),$B$2:B111),B111))-FIND(".",IF(B111=0,LOOKUP(2,1/($B$2:B111&lt;&gt;0),$B$2:B111),B111)))),""),IF(P111,CONCATENATE("_grp_",P111),""),"/","c_pad_",RIGHT(IF(B111=0,LOOKUP(2,1/($B$2:B111&lt;&gt;0),$B$2:B111),B111),LEN(IF(B111=0,LOOKUP(2,1/($B$2:B111&lt;&gt;0),$B$2:B111),B111))-FIND(".",IF(B111=0,LOOKUP(2,1/($B$2:B111&lt;&gt;0),$B$2:B111),B111))),"_",IF(ISNUMBER(SEARCH("[",D111)),LEFT(D111,FIND("[",D111)-1),D111)),"")</f>
        <v/>
      </c>
      <c r="P111" s="82" t="s">
        <v>260</v>
      </c>
      <c r="Q111" s="83" t="s">
        <v>361</v>
      </c>
      <c r="R111" s="78" t="s">
        <v>362</v>
      </c>
      <c r="S111" s="78" t="s">
        <v>177</v>
      </c>
      <c r="T111" s="83"/>
    </row>
    <row r="112" ht="78.75" spans="1:20">
      <c r="A112" s="72" t="s">
        <v>245</v>
      </c>
      <c r="B112" s="83"/>
      <c r="C112" s="78" t="s">
        <v>61</v>
      </c>
      <c r="D112" s="78" t="s">
        <v>363</v>
      </c>
      <c r="E112" s="78">
        <f t="shared" si="7"/>
        <v>1</v>
      </c>
      <c r="F112" s="98" t="s">
        <v>63</v>
      </c>
      <c r="G112" s="83"/>
      <c r="H112" s="83" t="s">
        <v>64</v>
      </c>
      <c r="I112" s="83" t="s">
        <v>65</v>
      </c>
      <c r="J112" s="80"/>
      <c r="K112" s="80"/>
      <c r="L112" s="80"/>
      <c r="M112" s="89" t="str">
        <f t="shared" si="6"/>
        <v>b0</v>
      </c>
      <c r="N112" s="80"/>
      <c r="O112" s="88" t="str">
        <f>IF(AND(OR(EXACT(F112,"I"),EXACT(F112,"O")),NOT(EXACT(P112,"NA"))),CONCATENATE("c_reg_test_sel_",RIGHT(IF(B112=0,LOOKUP(2,1/($B$2:B112&lt;&gt;0),$B$2:B112),B112),LEN(IF(B112=0,LOOKUP(2,1/($B$2:B112&lt;&gt;0),$B$2:B112),B112))-FIND(".",IF(B112=0,LOOKUP(2,1/($B$2:B112&lt;&gt;0),$B$2:B112),B112))),IF(0,CONCATENATE("&amp; !c_test_reg_pin_disable_",RIGHT(IF(B112=0,LOOKUP(2,1/($B$2:B112&lt;&gt;0),$B$2:B112),B112),LEN(IF(B112=0,LOOKUP(2,1/($B$2:B112&lt;&gt;0),$B$2:B112),B112))-FIND(".",IF(B112=0,LOOKUP(2,1/($B$2:B112&lt;&gt;0),$B$2:B112),B112)))),""),IF(P112,CONCATENATE("_grp_",P112),""),"/","c_pad_",RIGHT(IF(B112=0,LOOKUP(2,1/($B$2:B112&lt;&gt;0),$B$2:B112),B112),LEN(IF(B112=0,LOOKUP(2,1/($B$2:B112&lt;&gt;0),$B$2:B112),B112))-FIND(".",IF(B112=0,LOOKUP(2,1/($B$2:B112&lt;&gt;0),$B$2:B112),B112))),"_",IF(ISNUMBER(SEARCH("[",D112)),LEFT(D112,FIND("[",D112)-1),D112)),"")</f>
        <v/>
      </c>
      <c r="P112" s="82" t="s">
        <v>260</v>
      </c>
      <c r="Q112" s="83" t="s">
        <v>364</v>
      </c>
      <c r="R112" s="78" t="s">
        <v>362</v>
      </c>
      <c r="S112" s="78" t="s">
        <v>180</v>
      </c>
      <c r="T112" s="83"/>
    </row>
    <row r="113" ht="78.75" spans="1:20">
      <c r="A113" s="72" t="s">
        <v>245</v>
      </c>
      <c r="B113" s="83"/>
      <c r="C113" s="78" t="s">
        <v>61</v>
      </c>
      <c r="D113" s="78" t="s">
        <v>365</v>
      </c>
      <c r="E113" s="78">
        <f t="shared" si="7"/>
        <v>1</v>
      </c>
      <c r="F113" s="98" t="s">
        <v>63</v>
      </c>
      <c r="G113" s="83"/>
      <c r="H113" s="83" t="s">
        <v>265</v>
      </c>
      <c r="I113" s="83" t="s">
        <v>65</v>
      </c>
      <c r="J113" s="80"/>
      <c r="K113" s="80"/>
      <c r="L113" s="80"/>
      <c r="M113" s="89" t="str">
        <f t="shared" si="6"/>
        <v>b1</v>
      </c>
      <c r="N113" s="80"/>
      <c r="O113" s="88" t="str">
        <f>IF(AND(OR(EXACT(F113,"I"),EXACT(F113,"O")),NOT(EXACT(P113,"NA"))),CONCATENATE("c_reg_test_sel_",RIGHT(IF(B113=0,LOOKUP(2,1/($B$2:B113&lt;&gt;0),$B$2:B113),B113),LEN(IF(B113=0,LOOKUP(2,1/($B$2:B113&lt;&gt;0),$B$2:B113),B113))-FIND(".",IF(B113=0,LOOKUP(2,1/($B$2:B113&lt;&gt;0),$B$2:B113),B113))),IF(0,CONCATENATE("&amp; !c_test_reg_pin_disable_",RIGHT(IF(B113=0,LOOKUP(2,1/($B$2:B113&lt;&gt;0),$B$2:B113),B113),LEN(IF(B113=0,LOOKUP(2,1/($B$2:B113&lt;&gt;0),$B$2:B113),B113))-FIND(".",IF(B113=0,LOOKUP(2,1/($B$2:B113&lt;&gt;0),$B$2:B113),B113)))),""),IF(P113,CONCATENATE("_grp_",P113),""),"/","c_pad_",RIGHT(IF(B113=0,LOOKUP(2,1/($B$2:B113&lt;&gt;0),$B$2:B113),B113),LEN(IF(B113=0,LOOKUP(2,1/($B$2:B113&lt;&gt;0),$B$2:B113),B113))-FIND(".",IF(B113=0,LOOKUP(2,1/($B$2:B113&lt;&gt;0),$B$2:B113),B113))),"_",IF(ISNUMBER(SEARCH("[",D113)),LEFT(D113,FIND("[",D113)-1),D113)),"")</f>
        <v/>
      </c>
      <c r="P113" s="82" t="s">
        <v>260</v>
      </c>
      <c r="Q113" s="83" t="s">
        <v>366</v>
      </c>
      <c r="R113" s="78" t="s">
        <v>362</v>
      </c>
      <c r="S113" s="78" t="s">
        <v>326</v>
      </c>
      <c r="T113" s="83"/>
    </row>
    <row r="114" ht="63" spans="1:20">
      <c r="A114" s="72" t="s">
        <v>245</v>
      </c>
      <c r="B114" s="83"/>
      <c r="C114" s="78" t="s">
        <v>61</v>
      </c>
      <c r="D114" s="78" t="s">
        <v>367</v>
      </c>
      <c r="E114" s="78">
        <f t="shared" si="7"/>
        <v>1</v>
      </c>
      <c r="F114" s="98" t="s">
        <v>63</v>
      </c>
      <c r="G114" s="83"/>
      <c r="H114" s="83" t="s">
        <v>64</v>
      </c>
      <c r="I114" s="83" t="s">
        <v>65</v>
      </c>
      <c r="J114" s="80"/>
      <c r="K114" s="80"/>
      <c r="L114" s="80"/>
      <c r="M114" s="89" t="str">
        <f t="shared" si="6"/>
        <v>b0</v>
      </c>
      <c r="N114" s="80"/>
      <c r="O114" s="88" t="str">
        <f>IF(AND(OR(EXACT(F114,"I"),EXACT(F114,"O")),NOT(EXACT(P114,"NA"))),CONCATENATE("c_reg_test_sel_",RIGHT(IF(B114=0,LOOKUP(2,1/($B$2:B114&lt;&gt;0),$B$2:B114),B114),LEN(IF(B114=0,LOOKUP(2,1/($B$2:B114&lt;&gt;0),$B$2:B114),B114))-FIND(".",IF(B114=0,LOOKUP(2,1/($B$2:B114&lt;&gt;0),$B$2:B114),B114))),IF(0,CONCATENATE("&amp; !c_test_reg_pin_disable_",RIGHT(IF(B114=0,LOOKUP(2,1/($B$2:B114&lt;&gt;0),$B$2:B114),B114),LEN(IF(B114=0,LOOKUP(2,1/($B$2:B114&lt;&gt;0),$B$2:B114),B114))-FIND(".",IF(B114=0,LOOKUP(2,1/($B$2:B114&lt;&gt;0),$B$2:B114),B114)))),""),IF(P114,CONCATENATE("_grp_",P114),""),"/","c_pad_",RIGHT(IF(B114=0,LOOKUP(2,1/($B$2:B114&lt;&gt;0),$B$2:B114),B114),LEN(IF(B114=0,LOOKUP(2,1/($B$2:B114&lt;&gt;0),$B$2:B114),B114))-FIND(".",IF(B114=0,LOOKUP(2,1/($B$2:B114&lt;&gt;0),$B$2:B114),B114))),"_",IF(ISNUMBER(SEARCH("[",D114)),LEFT(D114,FIND("[",D114)-1),D114)),"")</f>
        <v/>
      </c>
      <c r="P114" s="82" t="s">
        <v>260</v>
      </c>
      <c r="Q114" s="83" t="s">
        <v>368</v>
      </c>
      <c r="R114" s="78" t="s">
        <v>362</v>
      </c>
      <c r="S114" s="78" t="s">
        <v>321</v>
      </c>
      <c r="T114" s="83"/>
    </row>
    <row r="115" ht="94.5" spans="1:20">
      <c r="A115" s="72" t="s">
        <v>245</v>
      </c>
      <c r="B115" s="83"/>
      <c r="C115" s="78" t="s">
        <v>61</v>
      </c>
      <c r="D115" s="78" t="s">
        <v>369</v>
      </c>
      <c r="E115" s="78">
        <f t="shared" si="7"/>
        <v>7</v>
      </c>
      <c r="F115" s="98" t="s">
        <v>63</v>
      </c>
      <c r="G115" s="83"/>
      <c r="H115" s="83" t="s">
        <v>341</v>
      </c>
      <c r="I115" s="83" t="s">
        <v>65</v>
      </c>
      <c r="J115" s="80"/>
      <c r="K115" s="80"/>
      <c r="L115" s="80"/>
      <c r="M115" s="89" t="str">
        <f t="shared" si="6"/>
        <v>b0000000</v>
      </c>
      <c r="N115" s="80"/>
      <c r="O115" s="88" t="str">
        <f>IF(AND(OR(EXACT(F115,"I"),EXACT(F115,"O")),NOT(EXACT(P115,"NA"))),CONCATENATE("c_reg_test_sel_",RIGHT(IF(B115=0,LOOKUP(2,1/($B$2:B115&lt;&gt;0),$B$2:B115),B115),LEN(IF(B115=0,LOOKUP(2,1/($B$2:B115&lt;&gt;0),$B$2:B115),B115))-FIND(".",IF(B115=0,LOOKUP(2,1/($B$2:B115&lt;&gt;0),$B$2:B115),B115))),IF(0,CONCATENATE("&amp; !c_test_reg_pin_disable_",RIGHT(IF(B115=0,LOOKUP(2,1/($B$2:B115&lt;&gt;0),$B$2:B115),B115),LEN(IF(B115=0,LOOKUP(2,1/($B$2:B115&lt;&gt;0),$B$2:B115),B115))-FIND(".",IF(B115=0,LOOKUP(2,1/($B$2:B115&lt;&gt;0),$B$2:B115),B115)))),""),IF(P115,CONCATENATE("_grp_",P115),""),"/","c_pad_",RIGHT(IF(B115=0,LOOKUP(2,1/($B$2:B115&lt;&gt;0),$B$2:B115),B115),LEN(IF(B115=0,LOOKUP(2,1/($B$2:B115&lt;&gt;0),$B$2:B115),B115))-FIND(".",IF(B115=0,LOOKUP(2,1/($B$2:B115&lt;&gt;0),$B$2:B115),B115))),"_",IF(ISNUMBER(SEARCH("[",D115)),LEFT(D115,FIND("[",D115)-1),D115)),"")</f>
        <v/>
      </c>
      <c r="P115" s="82" t="s">
        <v>260</v>
      </c>
      <c r="Q115" s="83" t="s">
        <v>370</v>
      </c>
      <c r="R115" s="78" t="s">
        <v>371</v>
      </c>
      <c r="S115" s="78" t="s">
        <v>344</v>
      </c>
      <c r="T115" s="83"/>
    </row>
    <row r="116" hidden="1" spans="1:20">
      <c r="A116" s="72" t="s">
        <v>372</v>
      </c>
      <c r="B116" s="107" t="s">
        <v>372</v>
      </c>
      <c r="C116" s="78" t="s">
        <v>50</v>
      </c>
      <c r="D116" s="77" t="s">
        <v>373</v>
      </c>
      <c r="E116" s="78">
        <f t="shared" si="7"/>
        <v>1</v>
      </c>
      <c r="F116" s="98" t="s">
        <v>52</v>
      </c>
      <c r="G116" s="93" t="s">
        <v>130</v>
      </c>
      <c r="H116" s="93"/>
      <c r="I116" s="99"/>
      <c r="M116" s="72"/>
      <c r="P116" s="72"/>
      <c r="Q116" s="102" t="s">
        <v>374</v>
      </c>
      <c r="R116" s="78"/>
      <c r="S116" s="78"/>
      <c r="T116" s="93"/>
    </row>
    <row r="117" hidden="1" spans="1:20">
      <c r="A117" s="72" t="s">
        <v>372</v>
      </c>
      <c r="B117" s="108"/>
      <c r="C117" s="78" t="s">
        <v>53</v>
      </c>
      <c r="D117" s="77" t="s">
        <v>375</v>
      </c>
      <c r="E117" s="78">
        <f t="shared" si="7"/>
        <v>1</v>
      </c>
      <c r="F117" s="98" t="s">
        <v>55</v>
      </c>
      <c r="G117" s="93" t="s">
        <v>130</v>
      </c>
      <c r="H117" s="93"/>
      <c r="I117" s="93"/>
      <c r="M117" s="72"/>
      <c r="P117" s="72"/>
      <c r="Q117" s="83" t="s">
        <v>376</v>
      </c>
      <c r="R117" s="78"/>
      <c r="S117" s="78"/>
      <c r="T117" s="93"/>
    </row>
    <row r="118" hidden="1" spans="1:20">
      <c r="A118" s="72" t="s">
        <v>372</v>
      </c>
      <c r="B118" s="108"/>
      <c r="C118" s="78" t="s">
        <v>56</v>
      </c>
      <c r="D118" s="77" t="s">
        <v>377</v>
      </c>
      <c r="E118" s="78">
        <f t="shared" si="7"/>
        <v>1</v>
      </c>
      <c r="F118" s="98" t="s">
        <v>55</v>
      </c>
      <c r="G118" s="93" t="s">
        <v>135</v>
      </c>
      <c r="H118" s="93"/>
      <c r="I118" s="93"/>
      <c r="M118" s="72"/>
      <c r="P118" s="72"/>
      <c r="Q118" s="83" t="s">
        <v>378</v>
      </c>
      <c r="R118" s="78"/>
      <c r="S118" s="78"/>
      <c r="T118" s="93"/>
    </row>
    <row r="119" ht="14.25" hidden="1" customHeight="1" spans="1:20">
      <c r="A119" s="72" t="s">
        <v>372</v>
      </c>
      <c r="B119" s="108"/>
      <c r="C119" s="78" t="s">
        <v>50</v>
      </c>
      <c r="D119" s="77" t="s">
        <v>379</v>
      </c>
      <c r="E119" s="78">
        <f t="shared" si="7"/>
        <v>1</v>
      </c>
      <c r="F119" s="98" t="s">
        <v>52</v>
      </c>
      <c r="G119" s="93" t="s">
        <v>130</v>
      </c>
      <c r="H119" s="93"/>
      <c r="I119" s="93"/>
      <c r="M119" s="72"/>
      <c r="P119" s="72"/>
      <c r="Q119" s="83" t="s">
        <v>380</v>
      </c>
      <c r="R119" s="78"/>
      <c r="S119" s="78"/>
      <c r="T119" s="93"/>
    </row>
    <row r="120" hidden="1" spans="1:20">
      <c r="A120" s="72" t="s">
        <v>372</v>
      </c>
      <c r="B120" s="108"/>
      <c r="C120" s="78" t="s">
        <v>50</v>
      </c>
      <c r="D120" s="77" t="s">
        <v>381</v>
      </c>
      <c r="E120" s="78">
        <f t="shared" si="7"/>
        <v>1</v>
      </c>
      <c r="F120" s="98" t="s">
        <v>52</v>
      </c>
      <c r="G120" s="93"/>
      <c r="H120" s="93"/>
      <c r="I120" s="93"/>
      <c r="M120" s="72"/>
      <c r="P120" s="72"/>
      <c r="Q120" s="83" t="s">
        <v>382</v>
      </c>
      <c r="R120" s="78"/>
      <c r="S120" s="78"/>
      <c r="T120" s="93"/>
    </row>
    <row r="121" hidden="1" spans="1:20">
      <c r="A121" s="72" t="s">
        <v>372</v>
      </c>
      <c r="B121" s="108"/>
      <c r="C121" s="78" t="s">
        <v>383</v>
      </c>
      <c r="D121" s="77" t="s">
        <v>384</v>
      </c>
      <c r="E121" s="78">
        <f t="shared" si="7"/>
        <v>1</v>
      </c>
      <c r="F121" s="98" t="s">
        <v>52</v>
      </c>
      <c r="G121" s="93" t="s">
        <v>135</v>
      </c>
      <c r="H121" s="93"/>
      <c r="I121" s="93"/>
      <c r="M121" s="72"/>
      <c r="P121" s="72"/>
      <c r="Q121" s="83" t="s">
        <v>385</v>
      </c>
      <c r="R121" s="78"/>
      <c r="S121" s="78"/>
      <c r="T121" s="93"/>
    </row>
    <row r="122" hidden="1" spans="1:20">
      <c r="B122" s="108"/>
      <c r="C122" s="91" t="s">
        <v>50</v>
      </c>
      <c r="D122" s="91" t="s">
        <v>386</v>
      </c>
      <c r="E122" s="78">
        <f t="shared" si="7"/>
        <v>1</v>
      </c>
      <c r="F122" s="98" t="s">
        <v>52</v>
      </c>
      <c r="G122" s="93"/>
      <c r="H122" s="93"/>
      <c r="I122" s="93"/>
      <c r="M122" s="72"/>
      <c r="P122" s="72"/>
      <c r="Q122" s="83" t="s">
        <v>387</v>
      </c>
      <c r="R122" s="78"/>
      <c r="S122" s="78"/>
      <c r="T122" s="93"/>
    </row>
    <row r="123" hidden="1" spans="1:20">
      <c r="A123" s="72" t="s">
        <v>372</v>
      </c>
      <c r="B123" s="108"/>
      <c r="C123" s="109" t="s">
        <v>388</v>
      </c>
      <c r="D123" s="109" t="s">
        <v>389</v>
      </c>
      <c r="E123" s="109">
        <f t="shared" si="7"/>
        <v>2</v>
      </c>
      <c r="F123" s="110" t="s">
        <v>140</v>
      </c>
      <c r="G123" s="93"/>
      <c r="H123" s="93"/>
      <c r="I123" s="93"/>
      <c r="M123" s="72"/>
      <c r="P123" s="72"/>
      <c r="Q123" s="83" t="s">
        <v>390</v>
      </c>
      <c r="R123" s="78"/>
      <c r="S123" s="78"/>
      <c r="T123" s="93"/>
    </row>
    <row r="124" ht="17.25" hidden="1" customHeight="1" spans="1:20">
      <c r="A124" s="72" t="s">
        <v>372</v>
      </c>
      <c r="B124" s="108"/>
      <c r="C124" s="78" t="s">
        <v>391</v>
      </c>
      <c r="D124" s="78" t="s">
        <v>392</v>
      </c>
      <c r="E124" s="78">
        <f t="shared" si="7"/>
        <v>2</v>
      </c>
      <c r="F124" s="98" t="s">
        <v>140</v>
      </c>
      <c r="G124" s="93"/>
      <c r="H124" s="93"/>
      <c r="I124" s="93"/>
      <c r="M124" s="72"/>
      <c r="P124" s="72"/>
      <c r="Q124" s="83" t="s">
        <v>393</v>
      </c>
      <c r="R124" s="78"/>
      <c r="S124" s="78"/>
      <c r="T124" s="93"/>
    </row>
    <row r="125" ht="14.25" hidden="1" customHeight="1" spans="1:20">
      <c r="A125" s="72" t="s">
        <v>372</v>
      </c>
      <c r="B125" s="108"/>
      <c r="C125" s="78" t="s">
        <v>61</v>
      </c>
      <c r="D125" s="78" t="s">
        <v>126</v>
      </c>
      <c r="E125" s="78">
        <f t="shared" ref="E125:E150" si="8">IF(AND(ISNUMBER(FIND("[",D125)),ISNUMBER(FIND("]",D125)),ISNUMBER(FIND(":",D125))),MID(D125,FIND("[",D125)+1,FIND(":",D125)-FIND("[",D125)-1)+1-MID(D125,FIND(":",D125)+1,FIND("]",D125)-FIND(":",D125)-1),IF(OR(ISNUMBER(FIND("[",D125)),ISNUMBER(FIND("]",D125)),ISNUMBER(FIND(":",D125))),"ERROR",1))</f>
        <v>1</v>
      </c>
      <c r="F125" s="98" t="s">
        <v>79</v>
      </c>
      <c r="G125" s="93"/>
      <c r="H125" s="93"/>
      <c r="I125" s="93"/>
      <c r="J125" s="80"/>
      <c r="K125" s="80"/>
      <c r="L125" s="80"/>
      <c r="M125" s="89">
        <f t="shared" ref="M125:M131" si="9">H125</f>
        <v>0</v>
      </c>
      <c r="N125" s="80"/>
      <c r="O125" s="88" t="str">
        <f>IF(AND(OR(EXACT(F125,"I"),EXACT(F125,"O")),NOT(EXACT(P125,"NA"))),CONCATENATE("c_reg_test_sel_",RIGHT(IF(B125=0,LOOKUP(2,1/($B$2:B125&lt;&gt;0),$B$2:B125),B125),LEN(IF(B125=0,LOOKUP(2,1/($B$2:B125&lt;&gt;0),$B$2:B125),B125))-FIND(".",IF(B125=0,LOOKUP(2,1/($B$2:B125&lt;&gt;0),$B$2:B125),B125))),IF(0,CONCATENATE("&amp; !c_test_reg_pin_disable_",RIGHT(IF(B125=0,LOOKUP(2,1/($B$2:B125&lt;&gt;0),$B$2:B125),B125),LEN(IF(B125=0,LOOKUP(2,1/($B$2:B125&lt;&gt;0),$B$2:B125),B125))-FIND(".",IF(B125=0,LOOKUP(2,1/($B$2:B125&lt;&gt;0),$B$2:B125),B125)))),""),IF(P125,CONCATENATE("_grp_",P125),""),"/","c_pad_",RIGHT(IF(B125=0,LOOKUP(2,1/($B$2:B125&lt;&gt;0),$B$2:B125),B125),LEN(IF(B125=0,LOOKUP(2,1/($B$2:B125&lt;&gt;0),$B$2:B125),B125))-FIND(".",IF(B125=0,LOOKUP(2,1/($B$2:B125&lt;&gt;0),$B$2:B125),B125))),"_",IF(ISNUMBER(SEARCH("[",D125)),LEFT(D125,FIND("[",D125)-1),D125)),"")</f>
        <v>c_reg_test_sel_pmu_inst_grp_1/c_pad_pmu_inst_rstn_por_lv</v>
      </c>
      <c r="P125" s="28">
        <v>1</v>
      </c>
      <c r="Q125" s="83" t="s">
        <v>394</v>
      </c>
      <c r="R125" s="78"/>
      <c r="S125" s="78"/>
      <c r="T125" s="93"/>
    </row>
    <row r="126" spans="1:20">
      <c r="A126" s="72" t="s">
        <v>372</v>
      </c>
      <c r="B126" s="108"/>
      <c r="C126" s="78" t="s">
        <v>61</v>
      </c>
      <c r="D126" s="78" t="s">
        <v>395</v>
      </c>
      <c r="E126" s="78">
        <f t="shared" si="8"/>
        <v>1</v>
      </c>
      <c r="F126" s="98" t="s">
        <v>63</v>
      </c>
      <c r="G126" s="93"/>
      <c r="H126" s="93" t="s">
        <v>64</v>
      </c>
      <c r="I126" s="83" t="s">
        <v>65</v>
      </c>
      <c r="J126" s="80"/>
      <c r="K126" s="80"/>
      <c r="L126" s="80"/>
      <c r="M126" s="89" t="str">
        <f t="shared" si="9"/>
        <v>b0</v>
      </c>
      <c r="N126" s="80"/>
      <c r="O126" s="88" t="str">
        <f>IF(AND(OR(EXACT(F126,"I"),EXACT(F126,"O")),NOT(EXACT(P126,"NA"))),CONCATENATE("c_reg_test_sel_",RIGHT(IF(B126=0,LOOKUP(2,1/($B$2:B126&lt;&gt;0),$B$2:B126),B126),LEN(IF(B126=0,LOOKUP(2,1/($B$2:B126&lt;&gt;0),$B$2:B126),B126))-FIND(".",IF(B126=0,LOOKUP(2,1/($B$2:B126&lt;&gt;0),$B$2:B126),B126))),IF(0,CONCATENATE("&amp; !c_test_reg_pin_disable_",RIGHT(IF(B126=0,LOOKUP(2,1/($B$2:B126&lt;&gt;0),$B$2:B126),B126),LEN(IF(B126=0,LOOKUP(2,1/($B$2:B126&lt;&gt;0),$B$2:B126),B126))-FIND(".",IF(B126=0,LOOKUP(2,1/($B$2:B126&lt;&gt;0),$B$2:B126),B126)))),""),IF(P126,CONCATENATE("_grp_",P126),""),"/","c_pad_",RIGHT(IF(B126=0,LOOKUP(2,1/($B$2:B126&lt;&gt;0),$B$2:B126),B126),LEN(IF(B126=0,LOOKUP(2,1/($B$2:B126&lt;&gt;0),$B$2:B126),B126))-FIND(".",IF(B126=0,LOOKUP(2,1/($B$2:B126&lt;&gt;0),$B$2:B126),B126))),"_",IF(ISNUMBER(SEARCH("[",D126)),LEFT(D126,FIND("[",D126)-1),D126)),"")</f>
        <v>c_reg_test_sel_pmu_inst_grp_1/c_pad_pmu_inst_lvd_eflash_en_lv</v>
      </c>
      <c r="P126" s="28">
        <v>1</v>
      </c>
      <c r="Q126" s="111" t="s">
        <v>396</v>
      </c>
      <c r="R126" s="78" t="s">
        <v>397</v>
      </c>
      <c r="S126" s="78" t="s">
        <v>177</v>
      </c>
      <c r="T126" s="93"/>
    </row>
    <row r="127" spans="1:20">
      <c r="A127" s="72" t="s">
        <v>372</v>
      </c>
      <c r="B127" s="108"/>
      <c r="C127" s="78" t="s">
        <v>61</v>
      </c>
      <c r="D127" s="78" t="s">
        <v>398</v>
      </c>
      <c r="E127" s="78">
        <f t="shared" si="8"/>
        <v>4</v>
      </c>
      <c r="F127" s="98" t="s">
        <v>63</v>
      </c>
      <c r="G127" s="93"/>
      <c r="H127" s="93" t="s">
        <v>94</v>
      </c>
      <c r="I127" s="83" t="s">
        <v>65</v>
      </c>
      <c r="J127" s="80"/>
      <c r="K127" s="80"/>
      <c r="L127" s="80"/>
      <c r="M127" s="89" t="str">
        <f t="shared" si="9"/>
        <v>b0000</v>
      </c>
      <c r="N127" s="80"/>
      <c r="O127" s="88" t="str">
        <f>IF(AND(OR(EXACT(F127,"I"),EXACT(F127,"O")),NOT(EXACT(P127,"NA"))),CONCATENATE("c_reg_test_sel_",RIGHT(IF(B127=0,LOOKUP(2,1/($B$2:B127&lt;&gt;0),$B$2:B127),B127),LEN(IF(B127=0,LOOKUP(2,1/($B$2:B127&lt;&gt;0),$B$2:B127),B127))-FIND(".",IF(B127=0,LOOKUP(2,1/($B$2:B127&lt;&gt;0),$B$2:B127),B127))),IF(0,CONCATENATE("&amp; !c_test_reg_pin_disable_",RIGHT(IF(B127=0,LOOKUP(2,1/($B$2:B127&lt;&gt;0),$B$2:B127),B127),LEN(IF(B127=0,LOOKUP(2,1/($B$2:B127&lt;&gt;0),$B$2:B127),B127))-FIND(".",IF(B127=0,LOOKUP(2,1/($B$2:B127&lt;&gt;0),$B$2:B127),B127)))),""),IF(P127,CONCATENATE("_grp_",P127),""),"/","c_pad_",RIGHT(IF(B127=0,LOOKUP(2,1/($B$2:B127&lt;&gt;0),$B$2:B127),B127),LEN(IF(B127=0,LOOKUP(2,1/($B$2:B127&lt;&gt;0),$B$2:B127),B127))-FIND(".",IF(B127=0,LOOKUP(2,1/($B$2:B127&lt;&gt;0),$B$2:B127),B127))),"_",IF(ISNUMBER(SEARCH("[",D127)),LEFT(D127,FIND("[",D127)-1),D127)),"")</f>
        <v>c_reg_test_sel_pmu_inst_grp_1/c_pad_pmu_inst_reg_lvd_eflash_lv</v>
      </c>
      <c r="P127" s="28">
        <v>1</v>
      </c>
      <c r="Q127" s="111" t="s">
        <v>399</v>
      </c>
      <c r="R127" s="78" t="s">
        <v>397</v>
      </c>
      <c r="S127" s="78" t="s">
        <v>400</v>
      </c>
      <c r="T127" s="93"/>
    </row>
    <row r="128" hidden="1" spans="1:20">
      <c r="A128" s="72" t="s">
        <v>372</v>
      </c>
      <c r="B128" s="108"/>
      <c r="C128" s="78" t="s">
        <v>61</v>
      </c>
      <c r="D128" s="78" t="s">
        <v>401</v>
      </c>
      <c r="E128" s="78">
        <f t="shared" si="8"/>
        <v>1</v>
      </c>
      <c r="F128" s="98" t="s">
        <v>79</v>
      </c>
      <c r="G128" s="93"/>
      <c r="H128" s="93"/>
      <c r="I128" s="83" t="s">
        <v>65</v>
      </c>
      <c r="J128" s="80"/>
      <c r="K128" s="80"/>
      <c r="L128" s="80"/>
      <c r="M128" s="89">
        <f t="shared" si="9"/>
        <v>0</v>
      </c>
      <c r="N128" s="80"/>
      <c r="O128" s="88" t="str">
        <f>IF(AND(OR(EXACT(F128,"I"),EXACT(F128,"O")),NOT(EXACT(P128,"NA"))),CONCATENATE("c_reg_test_sel_",RIGHT(IF(B128=0,LOOKUP(2,1/($B$2:B128&lt;&gt;0),$B$2:B128),B128),LEN(IF(B128=0,LOOKUP(2,1/($B$2:B128&lt;&gt;0),$B$2:B128),B128))-FIND(".",IF(B128=0,LOOKUP(2,1/($B$2:B128&lt;&gt;0),$B$2:B128),B128))),IF(0,CONCATENATE("&amp; !c_test_reg_pin_disable_",RIGHT(IF(B128=0,LOOKUP(2,1/($B$2:B128&lt;&gt;0),$B$2:B128),B128),LEN(IF(B128=0,LOOKUP(2,1/($B$2:B128&lt;&gt;0),$B$2:B128),B128))-FIND(".",IF(B128=0,LOOKUP(2,1/($B$2:B128&lt;&gt;0),$B$2:B128),B128)))),""),IF(P128,CONCATENATE("_grp_",P128),""),"/","c_pad_",RIGHT(IF(B128=0,LOOKUP(2,1/($B$2:B128&lt;&gt;0),$B$2:B128),B128),LEN(IF(B128=0,LOOKUP(2,1/($B$2:B128&lt;&gt;0),$B$2:B128),B128))-FIND(".",IF(B128=0,LOOKUP(2,1/($B$2:B128&lt;&gt;0),$B$2:B128),B128))),"_",IF(ISNUMBER(SEARCH("[",D128)),LEFT(D128,FIND("[",D128)-1),D128)),"")</f>
        <v>c_reg_test_sel_pmu_inst_grp_1/c_pad_pmu_inst_rstn_lvd_flash_lv</v>
      </c>
      <c r="P128" s="28">
        <v>1</v>
      </c>
      <c r="Q128" s="83" t="s">
        <v>402</v>
      </c>
      <c r="R128" s="112" t="s">
        <v>403</v>
      </c>
      <c r="S128" s="78"/>
      <c r="T128" s="93"/>
    </row>
    <row r="129" ht="47.25" spans="1:20">
      <c r="A129" s="72" t="s">
        <v>372</v>
      </c>
      <c r="B129" s="108"/>
      <c r="C129" s="78" t="s">
        <v>61</v>
      </c>
      <c r="D129" s="78" t="s">
        <v>404</v>
      </c>
      <c r="E129" s="78">
        <f t="shared" si="8"/>
        <v>1</v>
      </c>
      <c r="F129" s="98" t="s">
        <v>63</v>
      </c>
      <c r="G129" s="93"/>
      <c r="H129" s="93" t="s">
        <v>64</v>
      </c>
      <c r="I129" s="83" t="s">
        <v>65</v>
      </c>
      <c r="J129" s="80"/>
      <c r="K129" s="80"/>
      <c r="L129" s="80"/>
      <c r="M129" s="89" t="str">
        <f t="shared" si="9"/>
        <v>b0</v>
      </c>
      <c r="N129" s="80"/>
      <c r="O129" s="88" t="str">
        <f>IF(AND(OR(EXACT(F129,"I"),EXACT(F129,"O")),NOT(EXACT(P129,"NA"))),CONCATENATE("c_reg_test_sel_",RIGHT(IF(B129=0,LOOKUP(2,1/($B$2:B129&lt;&gt;0),$B$2:B129),B129),LEN(IF(B129=0,LOOKUP(2,1/($B$2:B129&lt;&gt;0),$B$2:B129),B129))-FIND(".",IF(B129=0,LOOKUP(2,1/($B$2:B129&lt;&gt;0),$B$2:B129),B129))),IF(0,CONCATENATE("&amp; !c_test_reg_pin_disable_",RIGHT(IF(B129=0,LOOKUP(2,1/($B$2:B129&lt;&gt;0),$B$2:B129),B129),LEN(IF(B129=0,LOOKUP(2,1/($B$2:B129&lt;&gt;0),$B$2:B129),B129))-FIND(".",IF(B129=0,LOOKUP(2,1/($B$2:B129&lt;&gt;0),$B$2:B129),B129)))),""),IF(P129,CONCATENATE("_grp_",P129),""),"/","c_pad_",RIGHT(IF(B129=0,LOOKUP(2,1/($B$2:B129&lt;&gt;0),$B$2:B129),B129),LEN(IF(B129=0,LOOKUP(2,1/($B$2:B129&lt;&gt;0),$B$2:B129),B129))-FIND(".",IF(B129=0,LOOKUP(2,1/($B$2:B129&lt;&gt;0),$B$2:B129),B129))),"_",IF(ISNUMBER(SEARCH("[",D129)),LEFT(D129,FIND("[",D129)-1),D129)),"")</f>
        <v>c_reg_test_sel_pmu_inst_grp_1/c_pad_pmu_inst_pvd_en_lv</v>
      </c>
      <c r="P129" s="28">
        <v>1</v>
      </c>
      <c r="Q129" s="83" t="s">
        <v>405</v>
      </c>
      <c r="R129" s="78" t="s">
        <v>406</v>
      </c>
      <c r="S129" s="78" t="s">
        <v>177</v>
      </c>
      <c r="T129" s="93"/>
    </row>
    <row r="130" ht="346.5" spans="1:20">
      <c r="A130" s="72" t="s">
        <v>372</v>
      </c>
      <c r="B130" s="108"/>
      <c r="C130" s="78" t="s">
        <v>61</v>
      </c>
      <c r="D130" s="78" t="s">
        <v>407</v>
      </c>
      <c r="E130" s="78">
        <f t="shared" si="8"/>
        <v>4</v>
      </c>
      <c r="F130" s="98" t="s">
        <v>63</v>
      </c>
      <c r="G130" s="93"/>
      <c r="H130" s="93" t="s">
        <v>408</v>
      </c>
      <c r="I130" s="83" t="s">
        <v>65</v>
      </c>
      <c r="J130" s="80"/>
      <c r="K130" s="80"/>
      <c r="L130" s="80"/>
      <c r="M130" s="89" t="str">
        <f t="shared" si="9"/>
        <v>b000</v>
      </c>
      <c r="N130" s="80"/>
      <c r="O130" s="88" t="str">
        <f>IF(AND(OR(EXACT(F130,"I"),EXACT(F130,"O")),NOT(EXACT(P130,"NA"))),CONCATENATE("c_reg_test_sel_",RIGHT(IF(B130=0,LOOKUP(2,1/($B$2:B130&lt;&gt;0),$B$2:B130),B130),LEN(IF(B130=0,LOOKUP(2,1/($B$2:B130&lt;&gt;0),$B$2:B130),B130))-FIND(".",IF(B130=0,LOOKUP(2,1/($B$2:B130&lt;&gt;0),$B$2:B130),B130))),IF(0,CONCATENATE("&amp; !c_test_reg_pin_disable_",RIGHT(IF(B130=0,LOOKUP(2,1/($B$2:B130&lt;&gt;0),$B$2:B130),B130),LEN(IF(B130=0,LOOKUP(2,1/($B$2:B130&lt;&gt;0),$B$2:B130),B130))-FIND(".",IF(B130=0,LOOKUP(2,1/($B$2:B130&lt;&gt;0),$B$2:B130),B130)))),""),IF(P130,CONCATENATE("_grp_",P130),""),"/","c_pad_",RIGHT(IF(B130=0,LOOKUP(2,1/($B$2:B130&lt;&gt;0),$B$2:B130),B130),LEN(IF(B130=0,LOOKUP(2,1/($B$2:B130&lt;&gt;0),$B$2:B130),B130))-FIND(".",IF(B130=0,LOOKUP(2,1/($B$2:B130&lt;&gt;0),$B$2:B130),B130))),"_",IF(ISNUMBER(SEARCH("[",D130)),LEFT(D130,FIND("[",D130)-1),D130)),"")</f>
        <v>c_reg_test_sel_pmu_inst_grp_1/c_pad_pmu_inst_reg_pvd_lv</v>
      </c>
      <c r="P130" s="28">
        <v>1</v>
      </c>
      <c r="Q130" s="83" t="s">
        <v>409</v>
      </c>
      <c r="R130" s="78" t="s">
        <v>410</v>
      </c>
      <c r="S130" s="78" t="s">
        <v>400</v>
      </c>
      <c r="T130" s="93"/>
    </row>
    <row r="131" ht="110.25" hidden="1" spans="1:20">
      <c r="A131" s="72" t="s">
        <v>372</v>
      </c>
      <c r="B131" s="108"/>
      <c r="C131" s="78" t="s">
        <v>61</v>
      </c>
      <c r="D131" s="78" t="s">
        <v>411</v>
      </c>
      <c r="E131" s="78">
        <f t="shared" si="8"/>
        <v>1</v>
      </c>
      <c r="F131" s="98" t="s">
        <v>79</v>
      </c>
      <c r="G131" s="93"/>
      <c r="H131" s="93"/>
      <c r="I131" s="83" t="s">
        <v>65</v>
      </c>
      <c r="J131" s="80"/>
      <c r="K131" s="80"/>
      <c r="L131" s="80"/>
      <c r="M131" s="89">
        <f t="shared" si="9"/>
        <v>0</v>
      </c>
      <c r="N131" s="80"/>
      <c r="O131" s="88" t="str">
        <f>IF(AND(OR(EXACT(F131,"I"),EXACT(F131,"O")),NOT(EXACT(P131,"NA"))),CONCATENATE("c_reg_test_sel_",RIGHT(IF(B131=0,LOOKUP(2,1/($B$2:B131&lt;&gt;0),$B$2:B131),B131),LEN(IF(B131=0,LOOKUP(2,1/($B$2:B131&lt;&gt;0),$B$2:B131),B131))-FIND(".",IF(B131=0,LOOKUP(2,1/($B$2:B131&lt;&gt;0),$B$2:B131),B131))),IF(0,CONCATENATE("&amp; !c_test_reg_pin_disable_",RIGHT(IF(B131=0,LOOKUP(2,1/($B$2:B131&lt;&gt;0),$B$2:B131),B131),LEN(IF(B131=0,LOOKUP(2,1/($B$2:B131&lt;&gt;0),$B$2:B131),B131))-FIND(".",IF(B131=0,LOOKUP(2,1/($B$2:B131&lt;&gt;0),$B$2:B131),B131)))),""),IF(P131,CONCATENATE("_grp_",P131),""),"/","c_pad_",RIGHT(IF(B131=0,LOOKUP(2,1/($B$2:B131&lt;&gt;0),$B$2:B131),B131),LEN(IF(B131=0,LOOKUP(2,1/($B$2:B131&lt;&gt;0),$B$2:B131),B131))-FIND(".",IF(B131=0,LOOKUP(2,1/($B$2:B131&lt;&gt;0),$B$2:B131),B131))),"_",IF(ISNUMBER(SEARCH("[",D131)),LEFT(D131,FIND("[",D131)-1),D131)),"")</f>
        <v>c_reg_test_sel_pmu_inst_grp_1/c_pad_pmu_inst_rstn_pvd_lv</v>
      </c>
      <c r="P131" s="28">
        <v>1</v>
      </c>
      <c r="Q131" s="83" t="s">
        <v>412</v>
      </c>
      <c r="R131" s="112" t="s">
        <v>413</v>
      </c>
      <c r="S131" s="78"/>
      <c r="T131" s="93"/>
    </row>
    <row r="132" ht="157.5" hidden="1" spans="1:20">
      <c r="A132" s="72" t="s">
        <v>372</v>
      </c>
      <c r="B132" s="108"/>
      <c r="C132" s="78" t="s">
        <v>414</v>
      </c>
      <c r="D132" s="78" t="s">
        <v>415</v>
      </c>
      <c r="E132" s="78">
        <f t="shared" si="8"/>
        <v>1</v>
      </c>
      <c r="F132" s="98" t="s">
        <v>140</v>
      </c>
      <c r="G132" s="93"/>
      <c r="H132" s="93" t="s">
        <v>64</v>
      </c>
      <c r="I132" s="99"/>
      <c r="M132" s="72"/>
      <c r="P132" s="72"/>
      <c r="Q132" s="102" t="s">
        <v>416</v>
      </c>
      <c r="R132" s="78"/>
      <c r="S132" s="78"/>
      <c r="T132" s="93"/>
    </row>
    <row r="133" spans="1:20">
      <c r="A133" s="72" t="s">
        <v>372</v>
      </c>
      <c r="B133" s="108"/>
      <c r="C133" s="78" t="s">
        <v>61</v>
      </c>
      <c r="D133" s="78" t="s">
        <v>417</v>
      </c>
      <c r="E133" s="78">
        <f t="shared" si="8"/>
        <v>6</v>
      </c>
      <c r="F133" s="98" t="s">
        <v>63</v>
      </c>
      <c r="G133" s="93"/>
      <c r="H133" s="93" t="s">
        <v>418</v>
      </c>
      <c r="I133" s="93" t="s">
        <v>65</v>
      </c>
      <c r="J133" s="80"/>
      <c r="K133" s="80"/>
      <c r="L133" s="80"/>
      <c r="M133" s="89" t="str">
        <f>H133</f>
        <v>b000000</v>
      </c>
      <c r="N133" s="80"/>
      <c r="O133" s="88" t="str">
        <f>IF(AND(OR(EXACT(F133,"I"),EXACT(F133,"O")),NOT(EXACT(P133,"NA"))),CONCATENATE("c_reg_test_sel_",RIGHT(IF(B133=0,LOOKUP(2,1/($B$2:B133&lt;&gt;0),$B$2:B133),B133),LEN(IF(B133=0,LOOKUP(2,1/($B$2:B133&lt;&gt;0),$B$2:B133),B133))-FIND(".",IF(B133=0,LOOKUP(2,1/($B$2:B133&lt;&gt;0),$B$2:B133),B133))),IF(0,CONCATENATE("&amp; !c_test_reg_pin_disable_",RIGHT(IF(B133=0,LOOKUP(2,1/($B$2:B133&lt;&gt;0),$B$2:B133),B133),LEN(IF(B133=0,LOOKUP(2,1/($B$2:B133&lt;&gt;0),$B$2:B133),B133))-FIND(".",IF(B133=0,LOOKUP(2,1/($B$2:B133&lt;&gt;0),$B$2:B133),B133)))),""),IF(P133,CONCATENATE("_grp_",P133),""),"/","c_pad_",RIGHT(IF(B133=0,LOOKUP(2,1/($B$2:B133&lt;&gt;0),$B$2:B133),B133),LEN(IF(B133=0,LOOKUP(2,1/($B$2:B133&lt;&gt;0),$B$2:B133),B133))-FIND(".",IF(B133=0,LOOKUP(2,1/($B$2:B133&lt;&gt;0),$B$2:B133),B133))),"_",IF(ISNUMBER(SEARCH("[",D133)),LEFT(D133,FIND("[",D133)-1),D133)),"")</f>
        <v/>
      </c>
      <c r="P133" s="82" t="s">
        <v>260</v>
      </c>
      <c r="Q133" s="83" t="s">
        <v>385</v>
      </c>
      <c r="R133" s="78" t="s">
        <v>419</v>
      </c>
      <c r="S133" s="78" t="s">
        <v>214</v>
      </c>
      <c r="T133" s="93"/>
    </row>
    <row r="134" ht="63" hidden="1" spans="1:20">
      <c r="A134" s="72" t="s">
        <v>372</v>
      </c>
      <c r="B134" s="108"/>
      <c r="C134" s="78" t="s">
        <v>202</v>
      </c>
      <c r="D134" s="78" t="s">
        <v>420</v>
      </c>
      <c r="E134" s="78">
        <f t="shared" si="8"/>
        <v>1</v>
      </c>
      <c r="F134" s="98" t="s">
        <v>140</v>
      </c>
      <c r="G134" s="93" t="s">
        <v>135</v>
      </c>
      <c r="H134" s="93"/>
      <c r="I134" s="99"/>
      <c r="M134" s="72"/>
      <c r="P134" s="113">
        <v>2</v>
      </c>
      <c r="Q134" s="102" t="s">
        <v>421</v>
      </c>
      <c r="R134" s="78"/>
      <c r="S134" s="78"/>
      <c r="T134" s="93"/>
    </row>
    <row r="135" ht="31.5" hidden="1" spans="1:20">
      <c r="A135" s="72" t="s">
        <v>372</v>
      </c>
      <c r="B135" s="108"/>
      <c r="C135" s="109" t="s">
        <v>422</v>
      </c>
      <c r="D135" s="109" t="s">
        <v>423</v>
      </c>
      <c r="E135" s="109">
        <f t="shared" si="8"/>
        <v>2</v>
      </c>
      <c r="F135" s="110" t="s">
        <v>140</v>
      </c>
      <c r="G135" s="93"/>
      <c r="H135" s="93"/>
      <c r="I135" s="93"/>
      <c r="M135" s="72"/>
      <c r="P135" s="113">
        <v>2</v>
      </c>
      <c r="Q135" s="111" t="s">
        <v>270</v>
      </c>
      <c r="R135" s="78"/>
      <c r="S135" s="78"/>
      <c r="T135" s="93"/>
    </row>
    <row r="136" hidden="1" spans="1:20">
      <c r="A136" s="72" t="s">
        <v>372</v>
      </c>
      <c r="B136" s="108"/>
      <c r="C136" s="109" t="s">
        <v>424</v>
      </c>
      <c r="D136" s="109" t="s">
        <v>425</v>
      </c>
      <c r="E136" s="109">
        <f t="shared" si="8"/>
        <v>2</v>
      </c>
      <c r="F136" s="110" t="s">
        <v>140</v>
      </c>
      <c r="G136" s="93"/>
      <c r="H136" s="93"/>
      <c r="I136" s="93"/>
      <c r="M136" s="72"/>
      <c r="P136" s="113">
        <v>2</v>
      </c>
      <c r="Q136" s="111" t="s">
        <v>426</v>
      </c>
      <c r="R136" s="78"/>
      <c r="S136" s="78"/>
      <c r="T136" s="93"/>
    </row>
    <row r="137" ht="141.75" spans="1:20">
      <c r="A137" s="72" t="s">
        <v>372</v>
      </c>
      <c r="B137" s="108"/>
      <c r="C137" s="78" t="s">
        <v>61</v>
      </c>
      <c r="D137" s="78" t="s">
        <v>427</v>
      </c>
      <c r="E137" s="78">
        <f t="shared" si="8"/>
        <v>5</v>
      </c>
      <c r="F137" s="98" t="s">
        <v>63</v>
      </c>
      <c r="G137" s="93"/>
      <c r="H137" s="93" t="s">
        <v>428</v>
      </c>
      <c r="I137" s="93" t="s">
        <v>65</v>
      </c>
      <c r="J137" s="80"/>
      <c r="K137" s="80"/>
      <c r="L137" s="80"/>
      <c r="M137" s="89" t="str">
        <f>H137</f>
        <v>b00000</v>
      </c>
      <c r="N137" s="80"/>
      <c r="O137" s="88" t="str">
        <f>IF(AND(OR(EXACT(F137,"I"),EXACT(F137,"O")),NOT(EXACT(P137,"NA"))),CONCATENATE("c_reg_test_sel_",RIGHT(IF(B137=0,LOOKUP(2,1/($B$2:B137&lt;&gt;0),$B$2:B137),B137),LEN(IF(B137=0,LOOKUP(2,1/($B$2:B137&lt;&gt;0),$B$2:B137),B137))-FIND(".",IF(B137=0,LOOKUP(2,1/($B$2:B137&lt;&gt;0),$B$2:B137),B137))),IF(0,CONCATENATE("&amp; !c_test_reg_pin_disable_",RIGHT(IF(B137=0,LOOKUP(2,1/($B$2:B137&lt;&gt;0),$B$2:B137),B137),LEN(IF(B137=0,LOOKUP(2,1/($B$2:B137&lt;&gt;0),$B$2:B137),B137))-FIND(".",IF(B137=0,LOOKUP(2,1/($B$2:B137&lt;&gt;0),$B$2:B137),B137)))),""),IF(P137,CONCATENATE("_grp_",P137),""),"/","c_pad_",RIGHT(IF(B137=0,LOOKUP(2,1/($B$2:B137&lt;&gt;0),$B$2:B137),B137),LEN(IF(B137=0,LOOKUP(2,1/($B$2:B137&lt;&gt;0),$B$2:B137),B137))-FIND(".",IF(B137=0,LOOKUP(2,1/($B$2:B137&lt;&gt;0),$B$2:B137),B137))),"_",IF(ISNUMBER(SEARCH("[",D137)),LEFT(D137,FIND("[",D137)-1),D137)),"")</f>
        <v>c_reg_test_sel_pmu_inst_grp_2/c_pad_pmu_inst_reg_lpldo_lv</v>
      </c>
      <c r="P137" s="28">
        <v>2</v>
      </c>
      <c r="Q137" s="83" t="s">
        <v>429</v>
      </c>
      <c r="R137" s="78" t="s">
        <v>430</v>
      </c>
      <c r="S137" s="78" t="s">
        <v>219</v>
      </c>
      <c r="T137" s="93"/>
    </row>
    <row r="138" ht="94.5" hidden="1" spans="1:20">
      <c r="A138" s="72" t="s">
        <v>372</v>
      </c>
      <c r="B138" s="108"/>
      <c r="C138" s="78" t="s">
        <v>431</v>
      </c>
      <c r="D138" s="78" t="s">
        <v>432</v>
      </c>
      <c r="E138" s="78">
        <f t="shared" si="8"/>
        <v>1</v>
      </c>
      <c r="F138" s="98" t="s">
        <v>140</v>
      </c>
      <c r="G138" s="93"/>
      <c r="H138" s="93"/>
      <c r="I138" s="99"/>
      <c r="M138" s="72"/>
      <c r="P138" s="113">
        <v>2</v>
      </c>
      <c r="Q138" s="102" t="s">
        <v>433</v>
      </c>
      <c r="R138" s="78"/>
      <c r="S138" s="78"/>
      <c r="T138" s="93"/>
    </row>
    <row r="139" ht="94.5" hidden="1" spans="1:20">
      <c r="A139" s="72" t="s">
        <v>372</v>
      </c>
      <c r="B139" s="108"/>
      <c r="C139" s="78" t="s">
        <v>61</v>
      </c>
      <c r="D139" s="78" t="s">
        <v>434</v>
      </c>
      <c r="E139" s="78">
        <f t="shared" si="8"/>
        <v>1</v>
      </c>
      <c r="F139" s="98" t="s">
        <v>79</v>
      </c>
      <c r="G139" s="93"/>
      <c r="H139" s="93"/>
      <c r="I139" s="91" t="s">
        <v>65</v>
      </c>
      <c r="J139" s="80"/>
      <c r="K139" s="80"/>
      <c r="L139" s="80"/>
      <c r="M139" s="89">
        <f>H139</f>
        <v>0</v>
      </c>
      <c r="N139" s="80"/>
      <c r="O139" s="88" t="str">
        <f>IF(AND(OR(EXACT(F139,"I"),EXACT(F139,"O")),NOT(EXACT(P139,"NA"))),CONCATENATE("c_reg_test_sel_",RIGHT(IF(B139=0,LOOKUP(2,1/($B$2:B139&lt;&gt;0),$B$2:B139),B139),LEN(IF(B139=0,LOOKUP(2,1/($B$2:B139&lt;&gt;0),$B$2:B139),B139))-FIND(".",IF(B139=0,LOOKUP(2,1/($B$2:B139&lt;&gt;0),$B$2:B139),B139))),IF(0,CONCATENATE("&amp; !c_test_reg_pin_disable_",RIGHT(IF(B139=0,LOOKUP(2,1/($B$2:B139&lt;&gt;0),$B$2:B139),B139),LEN(IF(B139=0,LOOKUP(2,1/($B$2:B139&lt;&gt;0),$B$2:B139),B139))-FIND(".",IF(B139=0,LOOKUP(2,1/($B$2:B139&lt;&gt;0),$B$2:B139),B139)))),""),IF(P139,CONCATENATE("_grp_",P139),""),"/","c_pad_",RIGHT(IF(B139=0,LOOKUP(2,1/($B$2:B139&lt;&gt;0),$B$2:B139),B139),LEN(IF(B139=0,LOOKUP(2,1/($B$2:B139&lt;&gt;0),$B$2:B139),B139))-FIND(".",IF(B139=0,LOOKUP(2,1/($B$2:B139&lt;&gt;0),$B$2:B139),B139))),"_",IF(ISNUMBER(SEARCH("[",D139)),LEFT(D139,FIND("[",D139)-1),D139)),"")</f>
        <v>c_reg_test_sel_pmu_inst_grp_2/c_pad_pmu_inst_V12AON_OK_LV</v>
      </c>
      <c r="P139" s="28">
        <v>2</v>
      </c>
      <c r="Q139" s="83" t="s">
        <v>435</v>
      </c>
      <c r="R139" s="91" t="s">
        <v>436</v>
      </c>
      <c r="S139" s="78"/>
      <c r="T139" s="93"/>
    </row>
    <row r="140" ht="110.25" spans="1:20">
      <c r="A140" s="72" t="s">
        <v>372</v>
      </c>
      <c r="B140" s="108"/>
      <c r="C140" s="78" t="s">
        <v>61</v>
      </c>
      <c r="D140" s="78" t="s">
        <v>437</v>
      </c>
      <c r="E140" s="78">
        <f t="shared" si="8"/>
        <v>1</v>
      </c>
      <c r="F140" s="98" t="s">
        <v>63</v>
      </c>
      <c r="G140" s="93"/>
      <c r="H140" s="93" t="s">
        <v>265</v>
      </c>
      <c r="I140" s="93" t="s">
        <v>65</v>
      </c>
      <c r="J140" s="80"/>
      <c r="K140" s="80"/>
      <c r="L140" s="80"/>
      <c r="M140" s="89" t="str">
        <f>H140</f>
        <v>b1</v>
      </c>
      <c r="N140" s="80"/>
      <c r="O140" s="88" t="str">
        <f>IF(AND(OR(EXACT(F140,"I"),EXACT(F140,"O")),NOT(EXACT(P140,"NA"))),CONCATENATE("c_reg_test_sel_",RIGHT(IF(B140=0,LOOKUP(2,1/($B$2:B140&lt;&gt;0),$B$2:B140),B140),LEN(IF(B140=0,LOOKUP(2,1/($B$2:B140&lt;&gt;0),$B$2:B140),B140))-FIND(".",IF(B140=0,LOOKUP(2,1/($B$2:B140&lt;&gt;0),$B$2:B140),B140))),IF(0,CONCATENATE("&amp; !c_test_reg_pin_disable_",RIGHT(IF(B140=0,LOOKUP(2,1/($B$2:B140&lt;&gt;0),$B$2:B140),B140),LEN(IF(B140=0,LOOKUP(2,1/($B$2:B140&lt;&gt;0),$B$2:B140),B140))-FIND(".",IF(B140=0,LOOKUP(2,1/($B$2:B140&lt;&gt;0),$B$2:B140),B140)))),""),IF(P140,CONCATENATE("_grp_",P140),""),"/","c_pad_",RIGHT(IF(B140=0,LOOKUP(2,1/($B$2:B140&lt;&gt;0),$B$2:B140),B140),LEN(IF(B140=0,LOOKUP(2,1/($B$2:B140&lt;&gt;0),$B$2:B140),B140))-FIND(".",IF(B140=0,LOOKUP(2,1/($B$2:B140&lt;&gt;0),$B$2:B140),B140))),"_",IF(ISNUMBER(SEARCH("[",D140)),LEFT(D140,FIND("[",D140)-1),D140)),"")</f>
        <v>c_reg_test_sel_pmu_inst_grp_2/c_pad_pmu_inst_mldo_en_lv</v>
      </c>
      <c r="P140" s="28">
        <v>2</v>
      </c>
      <c r="Q140" s="83" t="s">
        <v>438</v>
      </c>
      <c r="R140" s="78" t="s">
        <v>439</v>
      </c>
      <c r="S140" s="78" t="s">
        <v>180</v>
      </c>
      <c r="T140" s="93"/>
    </row>
    <row r="141" ht="47.25" hidden="1" spans="1:20">
      <c r="A141" s="72" t="s">
        <v>372</v>
      </c>
      <c r="B141" s="108"/>
      <c r="C141" s="78" t="s">
        <v>440</v>
      </c>
      <c r="D141" s="78" t="s">
        <v>441</v>
      </c>
      <c r="E141" s="78">
        <f t="shared" si="8"/>
        <v>1</v>
      </c>
      <c r="F141" s="98" t="s">
        <v>140</v>
      </c>
      <c r="G141" s="93" t="s">
        <v>135</v>
      </c>
      <c r="H141" s="93"/>
      <c r="I141" s="99"/>
      <c r="M141" s="72"/>
      <c r="P141" s="113">
        <v>3</v>
      </c>
      <c r="Q141" s="102" t="s">
        <v>442</v>
      </c>
      <c r="R141" s="78"/>
      <c r="S141" s="78"/>
      <c r="T141" s="93"/>
    </row>
    <row r="142" hidden="1" spans="1:20">
      <c r="A142" s="72" t="s">
        <v>372</v>
      </c>
      <c r="B142" s="108"/>
      <c r="C142" s="78" t="s">
        <v>199</v>
      </c>
      <c r="D142" s="78" t="s">
        <v>443</v>
      </c>
      <c r="E142" s="78">
        <f t="shared" si="8"/>
        <v>1</v>
      </c>
      <c r="F142" s="98" t="s">
        <v>140</v>
      </c>
      <c r="G142" s="93"/>
      <c r="H142" s="93"/>
      <c r="I142" s="93"/>
      <c r="M142" s="72"/>
      <c r="P142" s="113">
        <v>3</v>
      </c>
      <c r="Q142" s="83" t="s">
        <v>444</v>
      </c>
      <c r="R142" s="78"/>
      <c r="S142" s="78"/>
      <c r="T142" s="93"/>
    </row>
    <row r="143" hidden="1" spans="1:20">
      <c r="A143" s="72" t="s">
        <v>372</v>
      </c>
      <c r="B143" s="108"/>
      <c r="C143" s="78" t="s">
        <v>445</v>
      </c>
      <c r="D143" s="78" t="s">
        <v>446</v>
      </c>
      <c r="E143" s="78">
        <f t="shared" si="8"/>
        <v>1</v>
      </c>
      <c r="F143" s="98" t="s">
        <v>140</v>
      </c>
      <c r="G143" s="93"/>
      <c r="H143" s="93"/>
      <c r="I143" s="93"/>
      <c r="M143" s="72"/>
      <c r="P143" s="113">
        <v>3</v>
      </c>
      <c r="Q143" s="83" t="s">
        <v>447</v>
      </c>
      <c r="R143" s="78"/>
      <c r="S143" s="78"/>
      <c r="T143" s="93"/>
    </row>
    <row r="144" hidden="1" spans="1:20">
      <c r="A144" s="72" t="s">
        <v>372</v>
      </c>
      <c r="B144" s="108"/>
      <c r="C144" s="78" t="s">
        <v>134</v>
      </c>
      <c r="D144" s="78" t="s">
        <v>448</v>
      </c>
      <c r="E144" s="78">
        <f t="shared" si="8"/>
        <v>1</v>
      </c>
      <c r="F144" s="98" t="s">
        <v>140</v>
      </c>
      <c r="G144" s="93"/>
      <c r="H144" s="93"/>
      <c r="I144" s="93"/>
      <c r="M144" s="72"/>
      <c r="P144" s="113">
        <v>3</v>
      </c>
      <c r="Q144" s="83" t="s">
        <v>449</v>
      </c>
      <c r="R144" s="78"/>
      <c r="S144" s="78"/>
      <c r="T144" s="93"/>
    </row>
    <row r="145" ht="63" spans="1:20">
      <c r="A145" s="72" t="s">
        <v>372</v>
      </c>
      <c r="B145" s="108"/>
      <c r="C145" s="78" t="s">
        <v>61</v>
      </c>
      <c r="D145" s="78" t="s">
        <v>450</v>
      </c>
      <c r="E145" s="78">
        <f t="shared" si="8"/>
        <v>1</v>
      </c>
      <c r="F145" s="98" t="s">
        <v>63</v>
      </c>
      <c r="G145" s="93"/>
      <c r="H145" s="93" t="s">
        <v>64</v>
      </c>
      <c r="I145" s="93" t="s">
        <v>65</v>
      </c>
      <c r="J145" s="80"/>
      <c r="K145" s="80"/>
      <c r="L145" s="80"/>
      <c r="M145" s="89" t="str">
        <f t="shared" ref="M145:M147" si="10">H145</f>
        <v>b0</v>
      </c>
      <c r="N145" s="80"/>
      <c r="O145" s="88" t="str">
        <f>IF(AND(OR(EXACT(F145,"I"),EXACT(F145,"O")),NOT(EXACT(P145,"NA"))),CONCATENATE("c_reg_test_sel_",RIGHT(IF(B145=0,LOOKUP(2,1/($B$2:B145&lt;&gt;0),$B$2:B145),B145),LEN(IF(B145=0,LOOKUP(2,1/($B$2:B145&lt;&gt;0),$B$2:B145),B145))-FIND(".",IF(B145=0,LOOKUP(2,1/($B$2:B145&lt;&gt;0),$B$2:B145),B145))),IF(0,CONCATENATE("&amp; !c_test_reg_pin_disable_",RIGHT(IF(B145=0,LOOKUP(2,1/($B$2:B145&lt;&gt;0),$B$2:B145),B145),LEN(IF(B145=0,LOOKUP(2,1/($B$2:B145&lt;&gt;0),$B$2:B145),B145))-FIND(".",IF(B145=0,LOOKUP(2,1/($B$2:B145&lt;&gt;0),$B$2:B145),B145)))),""),IF(P145,CONCATENATE("_grp_",P145),""),"/","c_pad_",RIGHT(IF(B145=0,LOOKUP(2,1/($B$2:B145&lt;&gt;0),$B$2:B145),B145),LEN(IF(B145=0,LOOKUP(2,1/($B$2:B145&lt;&gt;0),$B$2:B145),B145))-FIND(".",IF(B145=0,LOOKUP(2,1/($B$2:B145&lt;&gt;0),$B$2:B145),B145))),"_",IF(ISNUMBER(SEARCH("[",D145)),LEFT(D145,FIND("[",D145)-1),D145)),"")</f>
        <v>c_reg_test_sel_pmu_inst_grp_2/c_pad_pmu_inst_reg_ocp_en_lv</v>
      </c>
      <c r="P145" s="28">
        <v>2</v>
      </c>
      <c r="Q145" s="83" t="s">
        <v>451</v>
      </c>
      <c r="R145" s="78" t="s">
        <v>439</v>
      </c>
      <c r="S145" s="78" t="s">
        <v>321</v>
      </c>
      <c r="T145" s="93"/>
    </row>
    <row r="146" ht="173.25" spans="1:20">
      <c r="A146" s="72" t="s">
        <v>372</v>
      </c>
      <c r="B146" s="108"/>
      <c r="C146" s="78" t="s">
        <v>61</v>
      </c>
      <c r="D146" s="78" t="s">
        <v>452</v>
      </c>
      <c r="E146" s="78">
        <f t="shared" si="8"/>
        <v>5</v>
      </c>
      <c r="F146" s="98" t="s">
        <v>63</v>
      </c>
      <c r="G146" s="93"/>
      <c r="H146" s="93" t="s">
        <v>428</v>
      </c>
      <c r="I146" s="93" t="s">
        <v>65</v>
      </c>
      <c r="J146" s="80"/>
      <c r="K146" s="80"/>
      <c r="L146" s="80"/>
      <c r="M146" s="89" t="str">
        <f t="shared" si="10"/>
        <v>b00000</v>
      </c>
      <c r="N146" s="80"/>
      <c r="O146" s="88" t="str">
        <f>IF(AND(OR(EXACT(F146,"I"),EXACT(F146,"O")),NOT(EXACT(P146,"NA"))),CONCATENATE("c_reg_test_sel_",RIGHT(IF(B146=0,LOOKUP(2,1/($B$2:B146&lt;&gt;0),$B$2:B146),B146),LEN(IF(B146=0,LOOKUP(2,1/($B$2:B146&lt;&gt;0),$B$2:B146),B146))-FIND(".",IF(B146=0,LOOKUP(2,1/($B$2:B146&lt;&gt;0),$B$2:B146),B146))),IF(0,CONCATENATE("&amp; !c_test_reg_pin_disable_",RIGHT(IF(B146=0,LOOKUP(2,1/($B$2:B146&lt;&gt;0),$B$2:B146),B146),LEN(IF(B146=0,LOOKUP(2,1/($B$2:B146&lt;&gt;0),$B$2:B146),B146))-FIND(".",IF(B146=0,LOOKUP(2,1/($B$2:B146&lt;&gt;0),$B$2:B146),B146)))),""),IF(P146,CONCATENATE("_grp_",P146),""),"/","c_pad_",RIGHT(IF(B146=0,LOOKUP(2,1/($B$2:B146&lt;&gt;0),$B$2:B146),B146),LEN(IF(B146=0,LOOKUP(2,1/($B$2:B146&lt;&gt;0),$B$2:B146),B146))-FIND(".",IF(B146=0,LOOKUP(2,1/($B$2:B146&lt;&gt;0),$B$2:B146),B146))),"_",IF(ISNUMBER(SEARCH("[",D146)),LEFT(D146,FIND("[",D146)-1),D146)),"")</f>
        <v>c_reg_test_sel_pmu_inst_grp_2/c_pad_pmu_inst_reg_mldo_lv</v>
      </c>
      <c r="P146" s="28">
        <v>2</v>
      </c>
      <c r="Q146" s="83" t="s">
        <v>453</v>
      </c>
      <c r="R146" s="78" t="s">
        <v>454</v>
      </c>
      <c r="S146" s="78" t="s">
        <v>219</v>
      </c>
      <c r="T146" s="93"/>
    </row>
    <row r="147" ht="126" hidden="1" spans="1:20">
      <c r="A147" s="72" t="s">
        <v>372</v>
      </c>
      <c r="B147" s="108"/>
      <c r="C147" s="78" t="s">
        <v>61</v>
      </c>
      <c r="D147" s="78" t="s">
        <v>455</v>
      </c>
      <c r="E147" s="78">
        <f t="shared" si="8"/>
        <v>1</v>
      </c>
      <c r="F147" s="98" t="s">
        <v>79</v>
      </c>
      <c r="G147" s="93"/>
      <c r="H147" s="93"/>
      <c r="I147" s="93" t="s">
        <v>65</v>
      </c>
      <c r="J147" s="80"/>
      <c r="K147" s="80"/>
      <c r="L147" s="80"/>
      <c r="M147" s="89">
        <f t="shared" si="10"/>
        <v>0</v>
      </c>
      <c r="N147" s="80"/>
      <c r="O147" s="88" t="str">
        <f>IF(AND(OR(EXACT(F147,"I"),EXACT(F147,"O")),NOT(EXACT(P147,"NA"))),CONCATENATE("c_reg_test_sel_",RIGHT(IF(B147=0,LOOKUP(2,1/($B$2:B147&lt;&gt;0),$B$2:B147),B147),LEN(IF(B147=0,LOOKUP(2,1/($B$2:B147&lt;&gt;0),$B$2:B147),B147))-FIND(".",IF(B147=0,LOOKUP(2,1/($B$2:B147&lt;&gt;0),$B$2:B147),B147))),IF(0,CONCATENATE("&amp; !c_test_reg_pin_disable_",RIGHT(IF(B147=0,LOOKUP(2,1/($B$2:B147&lt;&gt;0),$B$2:B147),B147),LEN(IF(B147=0,LOOKUP(2,1/($B$2:B147&lt;&gt;0),$B$2:B147),B147))-FIND(".",IF(B147=0,LOOKUP(2,1/($B$2:B147&lt;&gt;0),$B$2:B147),B147)))),""),IF(P147,CONCATENATE("_grp_",P147),""),"/","c_pad_",RIGHT(IF(B147=0,LOOKUP(2,1/($B$2:B147&lt;&gt;0),$B$2:B147),B147),LEN(IF(B147=0,LOOKUP(2,1/($B$2:B147&lt;&gt;0),$B$2:B147),B147))-FIND(".",IF(B147=0,LOOKUP(2,1/($B$2:B147&lt;&gt;0),$B$2:B147),B147))),"_",IF(ISNUMBER(SEARCH("[",D147)),LEFT(D147,FIND("[",D147)-1),D147)),"")</f>
        <v>c_reg_test_sel_pmu_inst_grp_2/c_pad_pmu_inst_V12M_OK_LV</v>
      </c>
      <c r="P147" s="28">
        <v>2</v>
      </c>
      <c r="Q147" s="83" t="s">
        <v>456</v>
      </c>
      <c r="R147" s="112" t="s">
        <v>436</v>
      </c>
      <c r="S147" s="78"/>
      <c r="T147" s="93"/>
    </row>
    <row r="148" ht="94.5" hidden="1" spans="1:20">
      <c r="A148" s="72" t="s">
        <v>372</v>
      </c>
      <c r="B148" s="108"/>
      <c r="C148" s="78" t="s">
        <v>153</v>
      </c>
      <c r="D148" s="78" t="s">
        <v>457</v>
      </c>
      <c r="E148" s="78">
        <f t="shared" si="8"/>
        <v>1</v>
      </c>
      <c r="F148" s="98" t="s">
        <v>140</v>
      </c>
      <c r="G148" s="93"/>
      <c r="H148" s="93"/>
      <c r="I148" s="99"/>
      <c r="M148" s="72"/>
      <c r="P148" s="113" t="s">
        <v>260</v>
      </c>
      <c r="Q148" s="102" t="s">
        <v>458</v>
      </c>
      <c r="R148" s="78"/>
      <c r="S148" s="78"/>
      <c r="T148" s="93"/>
    </row>
    <row r="149" ht="94.5" spans="1:20">
      <c r="A149" s="72" t="s">
        <v>372</v>
      </c>
      <c r="B149" s="108"/>
      <c r="C149" s="78" t="s">
        <v>61</v>
      </c>
      <c r="D149" s="78" t="s">
        <v>459</v>
      </c>
      <c r="E149" s="78">
        <f t="shared" si="8"/>
        <v>1</v>
      </c>
      <c r="F149" s="98" t="s">
        <v>63</v>
      </c>
      <c r="G149" s="93"/>
      <c r="H149" s="93" t="s">
        <v>265</v>
      </c>
      <c r="I149" s="93" t="s">
        <v>65</v>
      </c>
      <c r="J149" s="80"/>
      <c r="K149" s="80"/>
      <c r="L149" s="80"/>
      <c r="M149" s="89" t="str">
        <f>H149</f>
        <v>b1</v>
      </c>
      <c r="N149" s="80"/>
      <c r="O149" s="88" t="str">
        <f>IF(AND(OR(EXACT(F149,"I"),EXACT(F149,"O")),NOT(EXACT(P149,"NA"))),CONCATENATE("c_reg_test_sel_",RIGHT(IF(B149=0,LOOKUP(2,1/($B$2:B149&lt;&gt;0),$B$2:B149),B149),LEN(IF(B149=0,LOOKUP(2,1/($B$2:B149&lt;&gt;0),$B$2:B149),B149))-FIND(".",IF(B149=0,LOOKUP(2,1/($B$2:B149&lt;&gt;0),$B$2:B149),B149))),IF(0,CONCATENATE("&amp; !c_test_reg_pin_disable_",RIGHT(IF(B149=0,LOOKUP(2,1/($B$2:B149&lt;&gt;0),$B$2:B149),B149),LEN(IF(B149=0,LOOKUP(2,1/($B$2:B149&lt;&gt;0),$B$2:B149),B149))-FIND(".",IF(B149=0,LOOKUP(2,1/($B$2:B149&lt;&gt;0),$B$2:B149),B149)))),""),IF(P149,CONCATENATE("_grp_",P149),""),"/","c_pad_",RIGHT(IF(B149=0,LOOKUP(2,1/($B$2:B149&lt;&gt;0),$B$2:B149),B149),LEN(IF(B149=0,LOOKUP(2,1/($B$2:B149&lt;&gt;0),$B$2:B149),B149))-FIND(".",IF(B149=0,LOOKUP(2,1/($B$2:B149&lt;&gt;0),$B$2:B149),B149))),"_",IF(ISNUMBER(SEARCH("[",D149)),LEFT(D149,FIND("[",D149)-1),D149)),"")</f>
        <v>c_reg_test_sel_pmu_inst_grp_3/c_pad_pmu_inst_reg_buffer_en_lv</v>
      </c>
      <c r="P149" s="82">
        <v>3</v>
      </c>
      <c r="Q149" s="83" t="s">
        <v>460</v>
      </c>
      <c r="R149" s="78" t="s">
        <v>439</v>
      </c>
      <c r="S149" s="78" t="s">
        <v>461</v>
      </c>
      <c r="T149" s="93"/>
    </row>
    <row r="150" ht="31.5" hidden="1" spans="1:20">
      <c r="A150" s="72" t="s">
        <v>372</v>
      </c>
      <c r="B150" s="108"/>
      <c r="C150" s="109" t="s">
        <v>462</v>
      </c>
      <c r="D150" s="109" t="s">
        <v>463</v>
      </c>
      <c r="E150" s="109">
        <f t="shared" si="8"/>
        <v>1</v>
      </c>
      <c r="F150" s="110" t="s">
        <v>140</v>
      </c>
      <c r="G150" s="93"/>
      <c r="H150" s="93"/>
      <c r="I150" s="99"/>
      <c r="M150" s="72"/>
      <c r="P150" s="72"/>
      <c r="Q150" s="114" t="s">
        <v>270</v>
      </c>
      <c r="R150" s="78"/>
      <c r="S150" s="78"/>
      <c r="T150" s="93"/>
    </row>
    <row r="151" ht="31.5" hidden="1" spans="1:20">
      <c r="A151" s="72" t="s">
        <v>372</v>
      </c>
      <c r="B151" s="108"/>
      <c r="C151" s="109" t="s">
        <v>464</v>
      </c>
      <c r="D151" s="109" t="s">
        <v>465</v>
      </c>
      <c r="E151" s="109">
        <f t="shared" ref="E151:E179" si="11">IF(AND(ISNUMBER(FIND("[",D151)),ISNUMBER(FIND("]",D151)),ISNUMBER(FIND(":",D151))),MID(D151,FIND("[",D151)+1,FIND(":",D151)-FIND("[",D151)-1)+1-MID(D151,FIND(":",D151)+1,FIND("]",D151)-FIND(":",D151)-1),IF(OR(ISNUMBER(FIND("[",D151)),ISNUMBER(FIND("]",D151)),ISNUMBER(FIND(":",D151))),"ERROR",1))</f>
        <v>1</v>
      </c>
      <c r="F151" s="110" t="s">
        <v>140</v>
      </c>
      <c r="G151" s="93"/>
      <c r="H151" s="93"/>
      <c r="I151" s="93"/>
      <c r="M151" s="72"/>
      <c r="P151" s="72"/>
      <c r="Q151" s="111" t="s">
        <v>270</v>
      </c>
      <c r="R151" s="78"/>
      <c r="S151" s="78"/>
      <c r="T151" s="93"/>
    </row>
    <row r="152" ht="31.5" hidden="1" spans="1:20">
      <c r="A152" s="72" t="s">
        <v>372</v>
      </c>
      <c r="B152" s="108"/>
      <c r="C152" s="109" t="s">
        <v>466</v>
      </c>
      <c r="D152" s="109" t="s">
        <v>467</v>
      </c>
      <c r="E152" s="109">
        <f t="shared" si="11"/>
        <v>1</v>
      </c>
      <c r="F152" s="110" t="s">
        <v>140</v>
      </c>
      <c r="G152" s="93"/>
      <c r="H152" s="93"/>
      <c r="I152" s="93"/>
      <c r="M152" s="72"/>
      <c r="P152" s="72"/>
      <c r="Q152" s="111" t="s">
        <v>270</v>
      </c>
      <c r="R152" s="78"/>
      <c r="S152" s="78"/>
      <c r="T152" s="93"/>
    </row>
    <row r="153" ht="31.5" hidden="1" spans="1:20">
      <c r="A153" s="72" t="s">
        <v>372</v>
      </c>
      <c r="B153" s="108"/>
      <c r="C153" s="109" t="s">
        <v>468</v>
      </c>
      <c r="D153" s="109" t="s">
        <v>469</v>
      </c>
      <c r="E153" s="109">
        <f t="shared" si="11"/>
        <v>1</v>
      </c>
      <c r="F153" s="110" t="s">
        <v>140</v>
      </c>
      <c r="G153" s="93"/>
      <c r="H153" s="93"/>
      <c r="I153" s="99"/>
      <c r="M153" s="72"/>
      <c r="P153" s="72"/>
      <c r="Q153" s="114" t="s">
        <v>270</v>
      </c>
      <c r="R153" s="78"/>
      <c r="S153" s="78"/>
      <c r="T153" s="93"/>
    </row>
    <row r="154" ht="31.5" hidden="1" spans="1:20">
      <c r="A154" s="72" t="s">
        <v>372</v>
      </c>
      <c r="B154" s="108"/>
      <c r="C154" s="109" t="s">
        <v>470</v>
      </c>
      <c r="D154" s="109" t="s">
        <v>471</v>
      </c>
      <c r="E154" s="109">
        <f t="shared" si="11"/>
        <v>1</v>
      </c>
      <c r="F154" s="110" t="s">
        <v>140</v>
      </c>
      <c r="G154" s="93"/>
      <c r="H154" s="93"/>
      <c r="I154" s="93"/>
      <c r="M154" s="72"/>
      <c r="P154" s="72"/>
      <c r="Q154" s="111" t="s">
        <v>270</v>
      </c>
      <c r="R154" s="78"/>
      <c r="S154" s="78"/>
      <c r="T154" s="93"/>
    </row>
    <row r="155" ht="31.5" hidden="1" spans="1:20">
      <c r="A155" s="72" t="s">
        <v>372</v>
      </c>
      <c r="B155" s="108"/>
      <c r="C155" s="109" t="s">
        <v>268</v>
      </c>
      <c r="D155" s="109" t="s">
        <v>472</v>
      </c>
      <c r="E155" s="109">
        <f t="shared" si="11"/>
        <v>3</v>
      </c>
      <c r="F155" s="110" t="s">
        <v>140</v>
      </c>
      <c r="G155" s="93"/>
      <c r="H155" s="93"/>
      <c r="I155" s="93"/>
      <c r="M155" s="72"/>
      <c r="P155" s="72"/>
      <c r="Q155" s="111" t="s">
        <v>270</v>
      </c>
      <c r="R155" s="78"/>
      <c r="S155" s="78"/>
      <c r="T155" s="93"/>
    </row>
    <row r="156" hidden="1" spans="1:20">
      <c r="A156" s="72" t="s">
        <v>372</v>
      </c>
      <c r="B156" s="108"/>
      <c r="C156" s="78" t="s">
        <v>473</v>
      </c>
      <c r="D156" s="78" t="s">
        <v>474</v>
      </c>
      <c r="E156" s="78">
        <f t="shared" si="11"/>
        <v>2</v>
      </c>
      <c r="F156" s="98" t="s">
        <v>140</v>
      </c>
      <c r="G156" s="93"/>
      <c r="H156" s="93"/>
      <c r="I156" s="93"/>
      <c r="M156" s="72"/>
      <c r="P156" s="72"/>
      <c r="Q156" s="83" t="s">
        <v>475</v>
      </c>
      <c r="R156" s="78"/>
      <c r="S156" s="78"/>
      <c r="T156" s="93"/>
    </row>
    <row r="157" hidden="1" spans="1:20">
      <c r="A157" s="72" t="s">
        <v>372</v>
      </c>
      <c r="B157" s="108"/>
      <c r="C157" s="78" t="s">
        <v>476</v>
      </c>
      <c r="D157" s="104" t="s">
        <v>477</v>
      </c>
      <c r="E157" s="78">
        <f t="shared" si="11"/>
        <v>2</v>
      </c>
      <c r="F157" s="98" t="s">
        <v>140</v>
      </c>
      <c r="G157" s="93"/>
      <c r="H157" s="93"/>
      <c r="I157" s="93"/>
      <c r="M157" s="72"/>
      <c r="P157" s="72"/>
      <c r="Q157" s="111" t="s">
        <v>478</v>
      </c>
      <c r="R157" s="78"/>
      <c r="S157" s="78"/>
      <c r="T157" s="93"/>
    </row>
    <row r="158" ht="31.5" hidden="1" spans="1:20">
      <c r="A158" s="72" t="s">
        <v>372</v>
      </c>
      <c r="B158" s="108"/>
      <c r="C158" s="109" t="s">
        <v>233</v>
      </c>
      <c r="D158" s="109" t="s">
        <v>479</v>
      </c>
      <c r="E158" s="109">
        <f t="shared" si="11"/>
        <v>1</v>
      </c>
      <c r="F158" s="110" t="s">
        <v>140</v>
      </c>
      <c r="G158" s="93"/>
      <c r="H158" s="93"/>
      <c r="I158" s="93"/>
      <c r="M158" s="72"/>
      <c r="P158" s="72"/>
      <c r="Q158" s="111" t="s">
        <v>270</v>
      </c>
      <c r="R158" s="78"/>
      <c r="S158" s="78"/>
      <c r="T158" s="93"/>
    </row>
    <row r="159" ht="31.5" hidden="1" spans="1:20">
      <c r="A159" s="72" t="s">
        <v>372</v>
      </c>
      <c r="B159" s="108"/>
      <c r="C159" s="109" t="s">
        <v>480</v>
      </c>
      <c r="D159" s="109" t="s">
        <v>481</v>
      </c>
      <c r="E159" s="109">
        <f t="shared" si="11"/>
        <v>1</v>
      </c>
      <c r="F159" s="110" t="s">
        <v>140</v>
      </c>
      <c r="G159" s="93"/>
      <c r="H159" s="93"/>
      <c r="I159" s="93"/>
      <c r="M159" s="72"/>
      <c r="P159" s="72"/>
      <c r="Q159" s="111" t="s">
        <v>270</v>
      </c>
      <c r="R159" s="78"/>
      <c r="S159" s="78"/>
      <c r="T159" s="93"/>
    </row>
    <row r="160" hidden="1" spans="1:20">
      <c r="A160" s="72" t="s">
        <v>372</v>
      </c>
      <c r="B160" s="108"/>
      <c r="C160" s="78" t="s">
        <v>482</v>
      </c>
      <c r="D160" s="78" t="s">
        <v>483</v>
      </c>
      <c r="E160" s="78">
        <f t="shared" si="11"/>
        <v>2</v>
      </c>
      <c r="F160" s="98" t="s">
        <v>140</v>
      </c>
      <c r="G160" s="93"/>
      <c r="H160" s="93"/>
      <c r="I160" s="93"/>
      <c r="M160" s="72"/>
      <c r="P160" s="72"/>
      <c r="Q160" s="83" t="s">
        <v>484</v>
      </c>
      <c r="R160" s="78"/>
      <c r="S160" s="78"/>
      <c r="T160" s="93"/>
    </row>
    <row r="161" ht="19.95" hidden="1" customHeight="1" spans="1:20">
      <c r="A161" s="72" t="s">
        <v>372</v>
      </c>
      <c r="B161" s="108"/>
      <c r="C161" s="78" t="s">
        <v>485</v>
      </c>
      <c r="D161" s="78" t="s">
        <v>486</v>
      </c>
      <c r="E161" s="78">
        <f t="shared" si="11"/>
        <v>2</v>
      </c>
      <c r="F161" s="98" t="s">
        <v>140</v>
      </c>
      <c r="G161" s="93"/>
      <c r="H161" s="93"/>
      <c r="I161" s="93"/>
      <c r="M161" s="72"/>
      <c r="P161" s="72"/>
      <c r="Q161" s="111" t="s">
        <v>487</v>
      </c>
      <c r="R161" s="78"/>
      <c r="S161" s="78"/>
      <c r="T161" s="93"/>
    </row>
    <row r="162" ht="19.95" hidden="1" customHeight="1" spans="1:20">
      <c r="A162" s="72" t="s">
        <v>372</v>
      </c>
      <c r="B162" s="108"/>
      <c r="C162" s="109" t="s">
        <v>488</v>
      </c>
      <c r="D162" s="109" t="s">
        <v>489</v>
      </c>
      <c r="E162" s="109">
        <f t="shared" si="11"/>
        <v>1</v>
      </c>
      <c r="F162" s="110" t="s">
        <v>140</v>
      </c>
      <c r="G162" s="93"/>
      <c r="H162" s="93"/>
      <c r="I162" s="99"/>
      <c r="M162" s="72"/>
      <c r="P162" s="72"/>
      <c r="Q162" s="102" t="s">
        <v>385</v>
      </c>
      <c r="R162" s="78"/>
      <c r="S162" s="78"/>
      <c r="T162" s="93"/>
    </row>
    <row r="163" ht="19.95" customHeight="1" spans="1:20">
      <c r="A163" s="72" t="s">
        <v>372</v>
      </c>
      <c r="B163" s="108"/>
      <c r="C163" s="78" t="s">
        <v>61</v>
      </c>
      <c r="D163" s="78" t="s">
        <v>490</v>
      </c>
      <c r="E163" s="78">
        <f t="shared" si="11"/>
        <v>1</v>
      </c>
      <c r="F163" s="98" t="s">
        <v>63</v>
      </c>
      <c r="G163" s="93"/>
      <c r="H163" s="93" t="s">
        <v>64</v>
      </c>
      <c r="I163" s="93" t="s">
        <v>65</v>
      </c>
      <c r="J163" s="80"/>
      <c r="K163" s="80"/>
      <c r="L163" s="80"/>
      <c r="M163" s="89" t="str">
        <f>H163</f>
        <v>b0</v>
      </c>
      <c r="N163" s="80"/>
      <c r="O163" s="88" t="str">
        <f>IF(AND(OR(EXACT(F163,"I"),EXACT(F163,"O")),NOT(EXACT(P163,"NA"))),CONCATENATE("c_reg_test_sel_",RIGHT(IF(B163=0,LOOKUP(2,1/($B$2:B163&lt;&gt;0),$B$2:B163),B163),LEN(IF(B163=0,LOOKUP(2,1/($B$2:B163&lt;&gt;0),$B$2:B163),B163))-FIND(".",IF(B163=0,LOOKUP(2,1/($B$2:B163&lt;&gt;0),$B$2:B163),B163))),IF(0,CONCATENATE("&amp; !c_test_reg_pin_disable_",RIGHT(IF(B163=0,LOOKUP(2,1/($B$2:B163&lt;&gt;0),$B$2:B163),B163),LEN(IF(B163=0,LOOKUP(2,1/($B$2:B163&lt;&gt;0),$B$2:B163),B163))-FIND(".",IF(B163=0,LOOKUP(2,1/($B$2:B163&lt;&gt;0),$B$2:B163),B163)))),""),IF(P163,CONCATENATE("_grp_",P163),""),"/","c_pad_",RIGHT(IF(B163=0,LOOKUP(2,1/($B$2:B163&lt;&gt;0),$B$2:B163),B163),LEN(IF(B163=0,LOOKUP(2,1/($B$2:B163&lt;&gt;0),$B$2:B163),B163))-FIND(".",IF(B163=0,LOOKUP(2,1/($B$2:B163&lt;&gt;0),$B$2:B163),B163))),"_",IF(ISNUMBER(SEARCH("[",D163)),LEFT(D163,FIND("[",D163)-1),D163)),"")</f>
        <v>c_reg_test_sel_pmu_inst_grp_4/c_pad_pmu_inst_test_en_lv</v>
      </c>
      <c r="P163" s="82">
        <v>4</v>
      </c>
      <c r="Q163" s="83" t="s">
        <v>491</v>
      </c>
      <c r="R163" s="78" t="s">
        <v>492</v>
      </c>
      <c r="S163" s="78" t="s">
        <v>267</v>
      </c>
      <c r="T163" s="93"/>
    </row>
    <row r="164" ht="19.95" customHeight="1" spans="1:20">
      <c r="A164" s="72" t="s">
        <v>372</v>
      </c>
      <c r="B164" s="108"/>
      <c r="C164" s="78" t="s">
        <v>61</v>
      </c>
      <c r="D164" s="78" t="s">
        <v>493</v>
      </c>
      <c r="E164" s="78">
        <f t="shared" si="11"/>
        <v>5</v>
      </c>
      <c r="F164" s="98" t="s">
        <v>63</v>
      </c>
      <c r="G164" s="93"/>
      <c r="H164" s="93" t="s">
        <v>428</v>
      </c>
      <c r="I164" s="93" t="s">
        <v>65</v>
      </c>
      <c r="J164" s="80"/>
      <c r="K164" s="80"/>
      <c r="L164" s="80"/>
      <c r="M164" s="89" t="str">
        <f>H164</f>
        <v>b00000</v>
      </c>
      <c r="N164" s="80"/>
      <c r="O164" s="88" t="str">
        <f>IF(AND(OR(EXACT(F164,"I"),EXACT(F164,"O")),NOT(EXACT(P164,"NA"))),CONCATENATE("c_reg_test_sel_",RIGHT(IF(B164=0,LOOKUP(2,1/($B$2:B164&lt;&gt;0),$B$2:B164),B164),LEN(IF(B164=0,LOOKUP(2,1/($B$2:B164&lt;&gt;0),$B$2:B164),B164))-FIND(".",IF(B164=0,LOOKUP(2,1/($B$2:B164&lt;&gt;0),$B$2:B164),B164))),IF(0,CONCATENATE("&amp; !c_test_reg_pin_disable_",RIGHT(IF(B164=0,LOOKUP(2,1/($B$2:B164&lt;&gt;0),$B$2:B164),B164),LEN(IF(B164=0,LOOKUP(2,1/($B$2:B164&lt;&gt;0),$B$2:B164),B164))-FIND(".",IF(B164=0,LOOKUP(2,1/($B$2:B164&lt;&gt;0),$B$2:B164),B164)))),""),IF(P164,CONCATENATE("_grp_",P164),""),"/","c_pad_",RIGHT(IF(B164=0,LOOKUP(2,1/($B$2:B164&lt;&gt;0),$B$2:B164),B164),LEN(IF(B164=0,LOOKUP(2,1/($B$2:B164&lt;&gt;0),$B$2:B164),B164))-FIND(".",IF(B164=0,LOOKUP(2,1/($B$2:B164&lt;&gt;0),$B$2:B164),B164))),"_",IF(ISNUMBER(SEARCH("[",D164)),LEFT(D164,FIND("[",D164)-1),D164)),"")</f>
        <v>c_reg_test_sel_pmu_inst_grp_4/c_pad_pmu_inst_reg_test_lv</v>
      </c>
      <c r="P164" s="82">
        <v>4</v>
      </c>
      <c r="Q164" s="83" t="s">
        <v>494</v>
      </c>
      <c r="R164" s="78" t="s">
        <v>492</v>
      </c>
      <c r="S164" s="78" t="s">
        <v>219</v>
      </c>
      <c r="T164" s="93"/>
    </row>
    <row r="165" ht="19.95" hidden="1" customHeight="1" spans="1:20">
      <c r="A165" s="72" t="s">
        <v>372</v>
      </c>
      <c r="B165" s="108"/>
      <c r="C165" s="78" t="s">
        <v>495</v>
      </c>
      <c r="D165" s="78" t="s">
        <v>496</v>
      </c>
      <c r="E165" s="78">
        <f t="shared" si="11"/>
        <v>1</v>
      </c>
      <c r="F165" s="98" t="s">
        <v>140</v>
      </c>
      <c r="G165" s="93"/>
      <c r="H165" s="93"/>
      <c r="I165" s="99"/>
      <c r="M165" s="72"/>
      <c r="P165" s="72"/>
      <c r="Q165" s="102"/>
      <c r="R165" s="78"/>
      <c r="S165" s="78"/>
      <c r="T165" s="93"/>
    </row>
    <row r="166" ht="19.95" hidden="1" customHeight="1" spans="1:20">
      <c r="A166" s="72" t="s">
        <v>372</v>
      </c>
      <c r="B166" s="108"/>
      <c r="C166" s="109" t="s">
        <v>497</v>
      </c>
      <c r="D166" s="115" t="s">
        <v>498</v>
      </c>
      <c r="E166" s="109">
        <f t="shared" si="11"/>
        <v>1</v>
      </c>
      <c r="F166" s="110" t="s">
        <v>140</v>
      </c>
      <c r="G166" s="93"/>
      <c r="H166" s="93"/>
      <c r="I166" s="99"/>
      <c r="M166" s="72"/>
      <c r="P166" s="72"/>
      <c r="Q166" s="114" t="s">
        <v>499</v>
      </c>
      <c r="R166" s="78"/>
      <c r="S166" s="78"/>
      <c r="T166" s="93"/>
    </row>
    <row r="167" ht="61.5" customHeight="1" spans="1:20">
      <c r="A167" s="72" t="s">
        <v>372</v>
      </c>
      <c r="B167" s="108"/>
      <c r="C167" s="78" t="s">
        <v>61</v>
      </c>
      <c r="D167" s="79" t="s">
        <v>500</v>
      </c>
      <c r="E167" s="78">
        <f t="shared" si="11"/>
        <v>32</v>
      </c>
      <c r="F167" s="98" t="s">
        <v>63</v>
      </c>
      <c r="G167" s="93"/>
      <c r="H167" s="93" t="s">
        <v>501</v>
      </c>
      <c r="I167" s="93" t="s">
        <v>65</v>
      </c>
      <c r="J167" s="80"/>
      <c r="K167" s="80"/>
      <c r="L167" s="80"/>
      <c r="M167" s="89" t="str">
        <f>H167</f>
        <v>b00000000000000000000000000000000</v>
      </c>
      <c r="N167" s="80"/>
      <c r="O167" s="88" t="str">
        <f>IF(AND(OR(EXACT(F167,"I"),EXACT(F167,"O")),NOT(EXACT(P167,"NA"))),CONCATENATE("c_reg_test_sel_",RIGHT(IF(B167=0,LOOKUP(2,1/($B$2:B167&lt;&gt;0),$B$2:B167),B167),LEN(IF(B167=0,LOOKUP(2,1/($B$2:B167&lt;&gt;0),$B$2:B167),B167))-FIND(".",IF(B167=0,LOOKUP(2,1/($B$2:B167&lt;&gt;0),$B$2:B167),B167))),IF(0,CONCATENATE("&amp; !c_test_reg_pin_disable_",RIGHT(IF(B167=0,LOOKUP(2,1/($B$2:B167&lt;&gt;0),$B$2:B167),B167),LEN(IF(B167=0,LOOKUP(2,1/($B$2:B167&lt;&gt;0),$B$2:B167),B167))-FIND(".",IF(B167=0,LOOKUP(2,1/($B$2:B167&lt;&gt;0),$B$2:B167),B167)))),""),IF(P167,CONCATENATE("_grp_",P167),""),"/","c_pad_",RIGHT(IF(B167=0,LOOKUP(2,1/($B$2:B167&lt;&gt;0),$B$2:B167),B167),LEN(IF(B167=0,LOOKUP(2,1/($B$2:B167&lt;&gt;0),$B$2:B167),B167))-FIND(".",IF(B167=0,LOOKUP(2,1/($B$2:B167&lt;&gt;0),$B$2:B167),B167))),"_",IF(ISNUMBER(SEARCH("[",D167)),LEFT(D167,FIND("[",D167)-1),D167)),"")</f>
        <v/>
      </c>
      <c r="P167" s="82" t="s">
        <v>260</v>
      </c>
      <c r="Q167" s="79" t="s">
        <v>502</v>
      </c>
      <c r="R167" s="78" t="s">
        <v>503</v>
      </c>
      <c r="S167" s="78" t="s">
        <v>504</v>
      </c>
      <c r="T167" s="93"/>
    </row>
    <row r="168" ht="61.5" hidden="1" customHeight="1" spans="1:20">
      <c r="A168" s="72" t="s">
        <v>372</v>
      </c>
      <c r="B168" s="108"/>
      <c r="C168" s="116" t="s">
        <v>505</v>
      </c>
      <c r="D168" s="94" t="s">
        <v>506</v>
      </c>
      <c r="E168" s="78">
        <f t="shared" si="11"/>
        <v>1</v>
      </c>
      <c r="F168" s="98" t="s">
        <v>140</v>
      </c>
      <c r="G168" s="93"/>
      <c r="H168" s="93"/>
      <c r="I168" s="99"/>
      <c r="M168" s="72"/>
      <c r="P168" s="72"/>
      <c r="Q168" s="102"/>
      <c r="R168" s="78"/>
      <c r="S168" s="78"/>
      <c r="T168" s="93"/>
    </row>
    <row r="169" ht="61.5" hidden="1" customHeight="1" spans="1:20">
      <c r="A169" s="72" t="s">
        <v>372</v>
      </c>
      <c r="B169" s="102"/>
      <c r="C169" s="116" t="s">
        <v>505</v>
      </c>
      <c r="D169" s="116" t="s">
        <v>507</v>
      </c>
      <c r="E169" s="78">
        <f t="shared" si="11"/>
        <v>4</v>
      </c>
      <c r="F169" s="98" t="s">
        <v>140</v>
      </c>
      <c r="G169" s="117"/>
      <c r="H169" s="117"/>
      <c r="I169" s="117"/>
      <c r="M169" s="72"/>
      <c r="P169" s="72"/>
      <c r="Q169" s="116" t="s">
        <v>508</v>
      </c>
      <c r="R169" s="94"/>
      <c r="S169" s="94"/>
      <c r="T169" s="117"/>
    </row>
    <row r="170" hidden="1" spans="1:20">
      <c r="A170" s="72" t="s">
        <v>509</v>
      </c>
      <c r="B170" s="83" t="s">
        <v>509</v>
      </c>
      <c r="C170" s="78" t="s">
        <v>440</v>
      </c>
      <c r="D170" s="78" t="s">
        <v>51</v>
      </c>
      <c r="E170" s="78">
        <f t="shared" si="11"/>
        <v>1</v>
      </c>
      <c r="F170" s="98" t="s">
        <v>52</v>
      </c>
      <c r="G170" s="93" t="s">
        <v>130</v>
      </c>
      <c r="H170" s="93"/>
      <c r="I170" s="83"/>
      <c r="M170" s="72"/>
      <c r="P170" s="72"/>
      <c r="Q170" s="105"/>
      <c r="R170" s="78"/>
      <c r="S170" s="78"/>
      <c r="T170" s="83"/>
    </row>
    <row r="171" hidden="1" spans="1:20">
      <c r="A171" s="72" t="s">
        <v>509</v>
      </c>
      <c r="B171" s="83"/>
      <c r="C171" s="78" t="s">
        <v>50</v>
      </c>
      <c r="D171" s="78" t="s">
        <v>89</v>
      </c>
      <c r="E171" s="78">
        <f t="shared" si="11"/>
        <v>1</v>
      </c>
      <c r="F171" s="98" t="s">
        <v>52</v>
      </c>
      <c r="G171" s="83"/>
      <c r="H171" s="117"/>
      <c r="I171" s="83"/>
      <c r="M171" s="72"/>
      <c r="P171" s="72"/>
      <c r="Q171" s="83"/>
      <c r="R171" s="78"/>
      <c r="S171" s="78"/>
      <c r="T171" s="83"/>
    </row>
    <row r="172" hidden="1" spans="1:20">
      <c r="A172" s="72" t="s">
        <v>509</v>
      </c>
      <c r="B172" s="83"/>
      <c r="C172" s="78" t="s">
        <v>53</v>
      </c>
      <c r="D172" s="78" t="s">
        <v>54</v>
      </c>
      <c r="E172" s="78">
        <f t="shared" si="11"/>
        <v>1</v>
      </c>
      <c r="F172" s="98" t="s">
        <v>55</v>
      </c>
      <c r="G172" s="83"/>
      <c r="H172" s="83"/>
      <c r="I172" s="83"/>
      <c r="M172" s="72"/>
      <c r="P172" s="72"/>
      <c r="Q172" s="83"/>
      <c r="R172" s="78"/>
      <c r="S172" s="78"/>
      <c r="T172" s="83"/>
    </row>
    <row r="173" hidden="1" spans="1:20">
      <c r="A173" s="72" t="s">
        <v>509</v>
      </c>
      <c r="B173" s="83"/>
      <c r="C173" s="118" t="s">
        <v>56</v>
      </c>
      <c r="D173" s="118" t="s">
        <v>57</v>
      </c>
      <c r="E173" s="78">
        <f t="shared" si="11"/>
        <v>1</v>
      </c>
      <c r="F173" s="98" t="s">
        <v>55</v>
      </c>
      <c r="G173" s="83"/>
      <c r="H173" s="83"/>
      <c r="I173" s="83"/>
      <c r="M173" s="72"/>
      <c r="P173" s="72"/>
      <c r="Q173" s="83"/>
      <c r="R173" s="78"/>
      <c r="S173" s="78"/>
      <c r="T173" s="83"/>
    </row>
    <row r="174" hidden="1" spans="1:20">
      <c r="A174" s="72" t="s">
        <v>509</v>
      </c>
      <c r="B174" s="83"/>
      <c r="C174" s="78" t="s">
        <v>510</v>
      </c>
      <c r="D174" s="78" t="s">
        <v>511</v>
      </c>
      <c r="E174" s="78">
        <f t="shared" si="11"/>
        <v>1</v>
      </c>
      <c r="F174" s="98" t="s">
        <v>140</v>
      </c>
      <c r="G174" s="83"/>
      <c r="H174" s="83"/>
      <c r="I174" s="83"/>
      <c r="M174" s="72"/>
      <c r="P174" s="72"/>
      <c r="Q174" s="119" t="s">
        <v>512</v>
      </c>
      <c r="R174" s="78"/>
      <c r="S174" s="78"/>
      <c r="T174" s="83"/>
    </row>
    <row r="175" hidden="1" spans="1:20">
      <c r="A175" s="72" t="s">
        <v>509</v>
      </c>
      <c r="B175" s="83"/>
      <c r="C175" s="78" t="s">
        <v>513</v>
      </c>
      <c r="D175" s="78" t="s">
        <v>514</v>
      </c>
      <c r="E175" s="78">
        <f t="shared" si="11"/>
        <v>1</v>
      </c>
      <c r="F175" s="98" t="s">
        <v>140</v>
      </c>
      <c r="G175" s="83"/>
      <c r="H175" s="83"/>
      <c r="I175" s="83"/>
      <c r="M175" s="72"/>
      <c r="P175" s="72"/>
      <c r="Q175" s="105" t="s">
        <v>515</v>
      </c>
      <c r="R175" s="78"/>
      <c r="S175" s="78"/>
      <c r="T175" s="83"/>
    </row>
    <row r="176" hidden="1" spans="1:20">
      <c r="A176" s="72" t="s">
        <v>509</v>
      </c>
      <c r="B176" s="83"/>
      <c r="C176" s="101" t="s">
        <v>516</v>
      </c>
      <c r="D176" s="101" t="s">
        <v>517</v>
      </c>
      <c r="E176" s="78">
        <f t="shared" si="11"/>
        <v>1</v>
      </c>
      <c r="F176" s="98" t="s">
        <v>140</v>
      </c>
      <c r="G176" s="83"/>
      <c r="H176" s="83"/>
      <c r="I176" s="83"/>
      <c r="M176" s="72"/>
      <c r="P176" s="72"/>
      <c r="Q176" s="105" t="s">
        <v>515</v>
      </c>
      <c r="R176" s="78"/>
      <c r="S176" s="78"/>
      <c r="T176" s="83"/>
    </row>
    <row r="177" hidden="1" spans="1:20">
      <c r="A177" s="72" t="s">
        <v>509</v>
      </c>
      <c r="B177" s="83"/>
      <c r="C177" s="101" t="s">
        <v>518</v>
      </c>
      <c r="D177" s="101" t="s">
        <v>519</v>
      </c>
      <c r="E177" s="78">
        <f t="shared" si="11"/>
        <v>1</v>
      </c>
      <c r="F177" s="98" t="s">
        <v>140</v>
      </c>
      <c r="G177" s="83"/>
      <c r="H177" s="83"/>
      <c r="I177" s="83"/>
      <c r="M177" s="72"/>
      <c r="P177" s="72"/>
      <c r="Q177" s="105" t="s">
        <v>520</v>
      </c>
      <c r="R177" s="78"/>
      <c r="S177" s="78"/>
      <c r="T177" s="83"/>
    </row>
    <row r="178" hidden="1" spans="1:20">
      <c r="A178" s="72" t="s">
        <v>509</v>
      </c>
      <c r="B178" s="83"/>
      <c r="C178" s="101" t="s">
        <v>521</v>
      </c>
      <c r="D178" s="101" t="s">
        <v>522</v>
      </c>
      <c r="E178" s="78">
        <f t="shared" si="11"/>
        <v>1</v>
      </c>
      <c r="F178" s="98" t="s">
        <v>140</v>
      </c>
      <c r="G178" s="83"/>
      <c r="H178" s="83"/>
      <c r="I178" s="83"/>
      <c r="M178" s="72"/>
      <c r="P178" s="72"/>
      <c r="Q178" s="105" t="s">
        <v>520</v>
      </c>
      <c r="R178" s="78"/>
      <c r="S178" s="78"/>
      <c r="T178" s="83"/>
    </row>
    <row r="179" hidden="1" spans="1:20">
      <c r="A179" s="72" t="s">
        <v>509</v>
      </c>
      <c r="B179" s="83"/>
      <c r="C179" s="92" t="s">
        <v>523</v>
      </c>
      <c r="D179" s="92" t="s">
        <v>524</v>
      </c>
      <c r="E179" s="78">
        <f t="shared" si="11"/>
        <v>2</v>
      </c>
      <c r="F179" s="98" t="s">
        <v>140</v>
      </c>
      <c r="G179" s="83"/>
      <c r="H179" s="83"/>
      <c r="I179" s="83"/>
      <c r="M179" s="72"/>
      <c r="P179" s="72"/>
      <c r="Q179" s="105" t="s">
        <v>525</v>
      </c>
      <c r="R179" s="78"/>
      <c r="S179" s="78"/>
      <c r="T179" s="83"/>
    </row>
    <row r="180" hidden="1" spans="1:20">
      <c r="A180" s="72" t="s">
        <v>509</v>
      </c>
      <c r="B180" s="83"/>
      <c r="C180" s="92" t="s">
        <v>526</v>
      </c>
      <c r="D180" s="92" t="s">
        <v>527</v>
      </c>
      <c r="E180" s="78">
        <f t="shared" ref="E180:E208" si="12">IF(AND(ISNUMBER(FIND("[",D180)),ISNUMBER(FIND("]",D180)),ISNUMBER(FIND(":",D180))),MID(D180,FIND("[",D180)+1,FIND(":",D180)-FIND("[",D180)-1)+1-MID(D180,FIND(":",D180)+1,FIND("]",D180)-FIND(":",D180)-1),IF(OR(ISNUMBER(FIND("[",D180)),ISNUMBER(FIND("]",D180)),ISNUMBER(FIND(":",D180))),"ERROR",1))</f>
        <v>2</v>
      </c>
      <c r="F180" s="98" t="s">
        <v>140</v>
      </c>
      <c r="G180" s="83"/>
      <c r="H180" s="83"/>
      <c r="I180" s="83"/>
      <c r="M180" s="72"/>
      <c r="P180" s="72"/>
      <c r="Q180" s="105" t="s">
        <v>528</v>
      </c>
      <c r="R180" s="78"/>
      <c r="S180" s="78"/>
      <c r="T180" s="83"/>
    </row>
    <row r="181" spans="1:20">
      <c r="A181" s="72" t="s">
        <v>509</v>
      </c>
      <c r="B181" s="83"/>
      <c r="C181" s="92" t="s">
        <v>61</v>
      </c>
      <c r="D181" s="92" t="s">
        <v>529</v>
      </c>
      <c r="E181" s="78">
        <f t="shared" si="12"/>
        <v>1</v>
      </c>
      <c r="F181" s="98" t="s">
        <v>63</v>
      </c>
      <c r="G181" s="83"/>
      <c r="H181" s="104" t="s">
        <v>265</v>
      </c>
      <c r="I181" s="93" t="s">
        <v>65</v>
      </c>
      <c r="J181" s="80"/>
      <c r="K181" s="80"/>
      <c r="L181" s="80"/>
      <c r="M181" s="89" t="str">
        <f t="shared" ref="M181:M186" si="13">H181</f>
        <v>b1</v>
      </c>
      <c r="N181" s="80"/>
      <c r="O181" s="88" t="str">
        <f>IF(AND(OR(EXACT(F181,"I"),EXACT(F181,"O")),NOT(EXACT(P181,"NA"))),CONCATENATE("c_reg_test_sel_",RIGHT(IF(B181=0,LOOKUP(2,1/($B$2:B181&lt;&gt;0),$B$2:B181),B181),LEN(IF(B181=0,LOOKUP(2,1/($B$2:B181&lt;&gt;0),$B$2:B181),B181))-FIND(".",IF(B181=0,LOOKUP(2,1/($B$2:B181&lt;&gt;0),$B$2:B181),B181))),IF(0,CONCATENATE("&amp; !c_test_reg_pin_disable_",RIGHT(IF(B181=0,LOOKUP(2,1/($B$2:B181&lt;&gt;0),$B$2:B181),B181),LEN(IF(B181=0,LOOKUP(2,1/($B$2:B181&lt;&gt;0),$B$2:B181),B181))-FIND(".",IF(B181=0,LOOKUP(2,1/($B$2:B181&lt;&gt;0),$B$2:B181),B181)))),""),IF(P181,CONCATENATE("_grp_",P181),""),"/","c_pad_",RIGHT(IF(B181=0,LOOKUP(2,1/($B$2:B181&lt;&gt;0),$B$2:B181),B181),LEN(IF(B181=0,LOOKUP(2,1/($B$2:B181&lt;&gt;0),$B$2:B181),B181))-FIND(".",IF(B181=0,LOOKUP(2,1/($B$2:B181&lt;&gt;0),$B$2:B181),B181))),"_",IF(ISNUMBER(SEARCH("[",D181)),LEFT(D181,FIND("[",D181)-1),D181)),"")</f>
        <v>c_reg_test_sel_cmp_inst/c_pad_cmp_inst_LI_VC_INN_SEL</v>
      </c>
      <c r="P181" s="82"/>
      <c r="Q181" s="120" t="s">
        <v>530</v>
      </c>
      <c r="R181" s="78" t="s">
        <v>531</v>
      </c>
      <c r="S181" s="78" t="s">
        <v>184</v>
      </c>
      <c r="T181" s="83"/>
    </row>
    <row r="182" spans="1:20">
      <c r="A182" s="72" t="s">
        <v>509</v>
      </c>
      <c r="B182" s="83"/>
      <c r="C182" s="92" t="s">
        <v>61</v>
      </c>
      <c r="D182" s="92" t="s">
        <v>532</v>
      </c>
      <c r="E182" s="78">
        <f t="shared" si="12"/>
        <v>1</v>
      </c>
      <c r="F182" s="98" t="s">
        <v>63</v>
      </c>
      <c r="G182" s="83"/>
      <c r="H182" s="77" t="s">
        <v>265</v>
      </c>
      <c r="I182" s="93" t="s">
        <v>65</v>
      </c>
      <c r="J182" s="80"/>
      <c r="K182" s="80"/>
      <c r="L182" s="80"/>
      <c r="M182" s="89" t="str">
        <f t="shared" si="13"/>
        <v>b1</v>
      </c>
      <c r="N182" s="80"/>
      <c r="O182" s="88" t="str">
        <f>IF(AND(OR(EXACT(F182,"I"),EXACT(F182,"O")),NOT(EXACT(P182,"NA"))),CONCATENATE("c_reg_test_sel_",RIGHT(IF(B182=0,LOOKUP(2,1/($B$2:B182&lt;&gt;0),$B$2:B182),B182),LEN(IF(B182=0,LOOKUP(2,1/($B$2:B182&lt;&gt;0),$B$2:B182),B182))-FIND(".",IF(B182=0,LOOKUP(2,1/($B$2:B182&lt;&gt;0),$B$2:B182),B182))),IF(0,CONCATENATE("&amp; !c_test_reg_pin_disable_",RIGHT(IF(B182=0,LOOKUP(2,1/($B$2:B182&lt;&gt;0),$B$2:B182),B182),LEN(IF(B182=0,LOOKUP(2,1/($B$2:B182&lt;&gt;0),$B$2:B182),B182))-FIND(".",IF(B182=0,LOOKUP(2,1/($B$2:B182&lt;&gt;0),$B$2:B182),B182)))),""),IF(P182,CONCATENATE("_grp_",P182),""),"/","c_pad_",RIGHT(IF(B182=0,LOOKUP(2,1/($B$2:B182&lt;&gt;0),$B$2:B182),B182),LEN(IF(B182=0,LOOKUP(2,1/($B$2:B182&lt;&gt;0),$B$2:B182),B182))-FIND(".",IF(B182=0,LOOKUP(2,1/($B$2:B182&lt;&gt;0),$B$2:B182),B182))),"_",IF(ISNUMBER(SEARCH("[",D182)),LEFT(D182,FIND("[",D182)-1),D182)),"")</f>
        <v>c_reg_test_sel_cmp_inst/c_pad_cmp_inst_LI_VC_INP_SEL</v>
      </c>
      <c r="P182" s="82"/>
      <c r="Q182" s="120" t="s">
        <v>530</v>
      </c>
      <c r="R182" s="78" t="s">
        <v>533</v>
      </c>
      <c r="S182" s="78" t="s">
        <v>184</v>
      </c>
      <c r="T182" s="83"/>
    </row>
    <row r="183" spans="1:20">
      <c r="A183" s="72" t="s">
        <v>509</v>
      </c>
      <c r="B183" s="83"/>
      <c r="C183" s="85" t="s">
        <v>61</v>
      </c>
      <c r="D183" s="85" t="s">
        <v>534</v>
      </c>
      <c r="E183" s="85">
        <f t="shared" si="12"/>
        <v>2</v>
      </c>
      <c r="F183" s="98" t="s">
        <v>63</v>
      </c>
      <c r="G183" s="119"/>
      <c r="H183" s="119" t="s">
        <v>259</v>
      </c>
      <c r="I183" s="93" t="s">
        <v>65</v>
      </c>
      <c r="J183" s="80"/>
      <c r="K183" s="80"/>
      <c r="L183" s="80"/>
      <c r="M183" s="89" t="str">
        <f t="shared" si="13"/>
        <v>b00</v>
      </c>
      <c r="N183" s="80"/>
      <c r="O183" s="88" t="str">
        <f>IF(AND(OR(EXACT(F183,"I"),EXACT(F183,"O")),NOT(EXACT(P183,"NA"))),CONCATENATE("c_reg_test_sel_",RIGHT(IF(B183=0,LOOKUP(2,1/($B$2:B183&lt;&gt;0),$B$2:B183),B183),LEN(IF(B183=0,LOOKUP(2,1/($B$2:B183&lt;&gt;0),$B$2:B183),B183))-FIND(".",IF(B183=0,LOOKUP(2,1/($B$2:B183&lt;&gt;0),$B$2:B183),B183))),IF(0,CONCATENATE("&amp; !c_test_reg_pin_disable_",RIGHT(IF(B183=0,LOOKUP(2,1/($B$2:B183&lt;&gt;0),$B$2:B183),B183),LEN(IF(B183=0,LOOKUP(2,1/($B$2:B183&lt;&gt;0),$B$2:B183),B183))-FIND(".",IF(B183=0,LOOKUP(2,1/($B$2:B183&lt;&gt;0),$B$2:B183),B183)))),""),IF(P183,CONCATENATE("_grp_",P183),""),"/","c_pad_",RIGHT(IF(B183=0,LOOKUP(2,1/($B$2:B183&lt;&gt;0),$B$2:B183),B183),LEN(IF(B183=0,LOOKUP(2,1/($B$2:B183&lt;&gt;0),$B$2:B183),B183))-FIND(".",IF(B183=0,LOOKUP(2,1/($B$2:B183&lt;&gt;0),$B$2:B183),B183))),"_",IF(ISNUMBER(SEARCH("[",D183)),LEFT(D183,FIND("[",D183)-1),D183)),"")</f>
        <v>c_reg_test_sel_cmp_inst/c_pad_cmp_inst_LI_VC_BIAS_SEL</v>
      </c>
      <c r="P183" s="82"/>
      <c r="Q183" s="85"/>
      <c r="R183" s="85" t="s">
        <v>535</v>
      </c>
      <c r="S183" s="85" t="s">
        <v>192</v>
      </c>
      <c r="T183" s="119"/>
    </row>
    <row r="184" spans="1:20">
      <c r="A184" s="72" t="s">
        <v>509</v>
      </c>
      <c r="B184" s="83"/>
      <c r="C184" s="78" t="s">
        <v>61</v>
      </c>
      <c r="D184" s="78" t="s">
        <v>536</v>
      </c>
      <c r="E184" s="78">
        <f t="shared" si="12"/>
        <v>1</v>
      </c>
      <c r="F184" s="85" t="s">
        <v>63</v>
      </c>
      <c r="G184" s="76"/>
      <c r="H184" s="93" t="s">
        <v>64</v>
      </c>
      <c r="I184" s="93" t="s">
        <v>65</v>
      </c>
      <c r="J184" s="80"/>
      <c r="K184" s="80"/>
      <c r="L184" s="80"/>
      <c r="M184" s="89" t="str">
        <f t="shared" si="13"/>
        <v>b0</v>
      </c>
      <c r="N184" s="80"/>
      <c r="O184" s="88" t="str">
        <f>IF(AND(OR(EXACT(F184,"I"),EXACT(F184,"O")),NOT(EXACT(P184,"NA"))),CONCATENATE("c_reg_test_sel_",RIGHT(IF(B184=0,LOOKUP(2,1/($B$2:B184&lt;&gt;0),$B$2:B184),B184),LEN(IF(B184=0,LOOKUP(2,1/($B$2:B184&lt;&gt;0),$B$2:B184),B184))-FIND(".",IF(B184=0,LOOKUP(2,1/($B$2:B184&lt;&gt;0),$B$2:B184),B184))),IF(0,CONCATENATE("&amp; !c_test_reg_pin_disable_",RIGHT(IF(B184=0,LOOKUP(2,1/($B$2:B184&lt;&gt;0),$B$2:B184),B184),LEN(IF(B184=0,LOOKUP(2,1/($B$2:B184&lt;&gt;0),$B$2:B184),B184))-FIND(".",IF(B184=0,LOOKUP(2,1/($B$2:B184&lt;&gt;0),$B$2:B184),B184)))),""),IF(P184,CONCATENATE("_grp_",P184),""),"/","c_pad_",RIGHT(IF(B184=0,LOOKUP(2,1/($B$2:B184&lt;&gt;0),$B$2:B184),B184),LEN(IF(B184=0,LOOKUP(2,1/($B$2:B184&lt;&gt;0),$B$2:B184),B184))-FIND(".",IF(B184=0,LOOKUP(2,1/($B$2:B184&lt;&gt;0),$B$2:B184),B184))),"_",IF(ISNUMBER(SEARCH("[",D184)),LEFT(D184,FIND("[",D184)-1),D184)),"")</f>
        <v>c_reg_test_sel_cmp_inst/c_pad_cmp_inst_LI_VC_EN</v>
      </c>
      <c r="P184" s="82"/>
      <c r="Q184" s="105" t="s">
        <v>537</v>
      </c>
      <c r="R184" s="78" t="s">
        <v>538</v>
      </c>
      <c r="S184" s="121" t="s">
        <v>177</v>
      </c>
      <c r="T184" s="83"/>
    </row>
    <row r="185" spans="1:20">
      <c r="A185" s="72" t="s">
        <v>509</v>
      </c>
      <c r="B185" s="83"/>
      <c r="C185" s="92" t="s">
        <v>61</v>
      </c>
      <c r="D185" s="92" t="s">
        <v>539</v>
      </c>
      <c r="E185" s="78">
        <f t="shared" si="12"/>
        <v>3</v>
      </c>
      <c r="F185" s="98" t="s">
        <v>63</v>
      </c>
      <c r="G185" s="83"/>
      <c r="H185" s="83" t="s">
        <v>259</v>
      </c>
      <c r="I185" s="93" t="s">
        <v>65</v>
      </c>
      <c r="J185" s="80"/>
      <c r="K185" s="80"/>
      <c r="L185" s="80"/>
      <c r="M185" s="89" t="str">
        <f t="shared" si="13"/>
        <v>b00</v>
      </c>
      <c r="N185" s="80"/>
      <c r="O185" s="88" t="str">
        <f>IF(AND(OR(EXACT(F185,"I"),EXACT(F185,"O")),NOT(EXACT(P185,"NA"))),CONCATENATE("c_reg_test_sel_",RIGHT(IF(B185=0,LOOKUP(2,1/($B$2:B185&lt;&gt;0),$B$2:B185),B185),LEN(IF(B185=0,LOOKUP(2,1/($B$2:B185&lt;&gt;0),$B$2:B185),B185))-FIND(".",IF(B185=0,LOOKUP(2,1/($B$2:B185&lt;&gt;0),$B$2:B185),B185))),IF(0,CONCATENATE("&amp; !c_test_reg_pin_disable_",RIGHT(IF(B185=0,LOOKUP(2,1/($B$2:B185&lt;&gt;0),$B$2:B185),B185),LEN(IF(B185=0,LOOKUP(2,1/($B$2:B185&lt;&gt;0),$B$2:B185),B185))-FIND(".",IF(B185=0,LOOKUP(2,1/($B$2:B185&lt;&gt;0),$B$2:B185),B185)))),""),IF(P185,CONCATENATE("_grp_",P185),""),"/","c_pad_",RIGHT(IF(B185=0,LOOKUP(2,1/($B$2:B185&lt;&gt;0),$B$2:B185),B185),LEN(IF(B185=0,LOOKUP(2,1/($B$2:B185&lt;&gt;0),$B$2:B185),B185))-FIND(".",IF(B185=0,LOOKUP(2,1/($B$2:B185&lt;&gt;0),$B$2:B185),B185))),"_",IF(ISNUMBER(SEARCH("[",D185)),LEFT(D185,FIND("[",D185)-1),D185)),"")</f>
        <v>c_reg_test_sel_cmp_inst/c_pad_cmp_inst_LI_VC_HYS_SEL</v>
      </c>
      <c r="P185" s="82"/>
      <c r="Q185" s="120" t="s">
        <v>540</v>
      </c>
      <c r="R185" s="78" t="s">
        <v>535</v>
      </c>
      <c r="S185" s="78" t="s">
        <v>282</v>
      </c>
      <c r="T185" s="83"/>
    </row>
    <row r="186" hidden="1" spans="1:20">
      <c r="A186" s="72" t="s">
        <v>509</v>
      </c>
      <c r="B186" s="83"/>
      <c r="C186" s="78" t="s">
        <v>61</v>
      </c>
      <c r="D186" s="78" t="s">
        <v>541</v>
      </c>
      <c r="E186" s="78">
        <f t="shared" si="12"/>
        <v>1</v>
      </c>
      <c r="F186" s="98" t="s">
        <v>79</v>
      </c>
      <c r="G186" s="83"/>
      <c r="H186" s="83"/>
      <c r="I186" s="93" t="s">
        <v>65</v>
      </c>
      <c r="J186" s="80"/>
      <c r="K186" s="80"/>
      <c r="L186" s="80"/>
      <c r="M186" s="89">
        <f t="shared" si="13"/>
        <v>0</v>
      </c>
      <c r="N186" s="80"/>
      <c r="O186" s="88" t="str">
        <f>IF(AND(OR(EXACT(F186,"I"),EXACT(F186,"O")),NOT(EXACT(P186,"NA"))),CONCATENATE("c_reg_test_sel_",RIGHT(IF(B186=0,LOOKUP(2,1/($B$2:B186&lt;&gt;0),$B$2:B186),B186),LEN(IF(B186=0,LOOKUP(2,1/($B$2:B186&lt;&gt;0),$B$2:B186),B186))-FIND(".",IF(B186=0,LOOKUP(2,1/($B$2:B186&lt;&gt;0),$B$2:B186),B186))),IF(0,CONCATENATE("&amp; !c_test_reg_pin_disable_",RIGHT(IF(B186=0,LOOKUP(2,1/($B$2:B186&lt;&gt;0),$B$2:B186),B186),LEN(IF(B186=0,LOOKUP(2,1/($B$2:B186&lt;&gt;0),$B$2:B186),B186))-FIND(".",IF(B186=0,LOOKUP(2,1/($B$2:B186&lt;&gt;0),$B$2:B186),B186)))),""),IF(P186,CONCATENATE("_grp_",P186),""),"/","c_pad_",RIGHT(IF(B186=0,LOOKUP(2,1/($B$2:B186&lt;&gt;0),$B$2:B186),B186),LEN(IF(B186=0,LOOKUP(2,1/($B$2:B186&lt;&gt;0),$B$2:B186),B186))-FIND(".",IF(B186=0,LOOKUP(2,1/($B$2:B186&lt;&gt;0),$B$2:B186),B186))),"_",IF(ISNUMBER(SEARCH("[",D186)),LEFT(D186,FIND("[",D186)-1),D186)),"")</f>
        <v>c_reg_test_sel_cmp_inst/c_pad_cmp_inst_LO_VC_OUT</v>
      </c>
      <c r="P186" s="82"/>
      <c r="Q186" s="83"/>
      <c r="R186" s="91" t="s">
        <v>538</v>
      </c>
      <c r="S186" s="78"/>
      <c r="T186" s="83"/>
    </row>
    <row r="187" hidden="1" spans="1:20">
      <c r="A187" s="72" t="s">
        <v>542</v>
      </c>
      <c r="B187" s="83" t="s">
        <v>542</v>
      </c>
      <c r="C187" s="78" t="s">
        <v>440</v>
      </c>
      <c r="D187" s="78" t="s">
        <v>543</v>
      </c>
      <c r="E187" s="78">
        <f t="shared" si="12"/>
        <v>1</v>
      </c>
      <c r="F187" s="98" t="s">
        <v>52</v>
      </c>
      <c r="G187" s="83"/>
      <c r="H187" s="83"/>
      <c r="I187" s="102"/>
      <c r="M187" s="72"/>
      <c r="P187" s="72"/>
      <c r="Q187" s="102" t="s">
        <v>544</v>
      </c>
      <c r="R187" s="78"/>
      <c r="S187" s="78"/>
      <c r="T187" s="83"/>
    </row>
    <row r="188" hidden="1" spans="1:20">
      <c r="A188" s="72" t="s">
        <v>542</v>
      </c>
      <c r="B188" s="83"/>
      <c r="C188" s="78" t="s">
        <v>50</v>
      </c>
      <c r="D188" s="78" t="s">
        <v>545</v>
      </c>
      <c r="E188" s="78">
        <f t="shared" si="12"/>
        <v>1</v>
      </c>
      <c r="F188" s="98" t="s">
        <v>52</v>
      </c>
      <c r="G188" s="93" t="s">
        <v>130</v>
      </c>
      <c r="H188" s="83"/>
      <c r="I188" s="83"/>
      <c r="M188" s="72"/>
      <c r="P188" s="72"/>
      <c r="Q188" s="83" t="s">
        <v>546</v>
      </c>
      <c r="R188" s="78"/>
      <c r="S188" s="78"/>
      <c r="T188" s="83"/>
    </row>
    <row r="189" hidden="1" spans="1:20">
      <c r="A189" s="72" t="s">
        <v>542</v>
      </c>
      <c r="B189" s="83"/>
      <c r="C189" s="78" t="s">
        <v>53</v>
      </c>
      <c r="D189" s="78" t="s">
        <v>547</v>
      </c>
      <c r="E189" s="78">
        <f t="shared" si="12"/>
        <v>1</v>
      </c>
      <c r="F189" s="98" t="s">
        <v>55</v>
      </c>
      <c r="G189" s="83"/>
      <c r="H189" s="83"/>
      <c r="I189" s="83"/>
      <c r="M189" s="72"/>
      <c r="P189" s="72"/>
      <c r="Q189" s="83" t="s">
        <v>548</v>
      </c>
      <c r="R189" s="78"/>
      <c r="S189" s="78"/>
      <c r="T189" s="83"/>
    </row>
    <row r="190" hidden="1" spans="1:20">
      <c r="A190" s="72" t="s">
        <v>542</v>
      </c>
      <c r="B190" s="83"/>
      <c r="C190" s="78" t="s">
        <v>50</v>
      </c>
      <c r="D190" s="78" t="s">
        <v>549</v>
      </c>
      <c r="E190" s="78">
        <f t="shared" si="12"/>
        <v>1</v>
      </c>
      <c r="F190" s="98" t="s">
        <v>52</v>
      </c>
      <c r="G190" s="93" t="s">
        <v>130</v>
      </c>
      <c r="H190" s="83"/>
      <c r="I190" s="83"/>
      <c r="M190" s="72"/>
      <c r="P190" s="72"/>
      <c r="Q190" s="83" t="s">
        <v>550</v>
      </c>
      <c r="R190" s="78"/>
      <c r="S190" s="78"/>
      <c r="T190" s="83"/>
    </row>
    <row r="191" hidden="1" spans="1:20">
      <c r="A191" s="72" t="s">
        <v>542</v>
      </c>
      <c r="B191" s="83"/>
      <c r="C191" s="78" t="s">
        <v>56</v>
      </c>
      <c r="D191" s="78" t="s">
        <v>551</v>
      </c>
      <c r="E191" s="78">
        <f t="shared" si="12"/>
        <v>1</v>
      </c>
      <c r="F191" s="98" t="s">
        <v>55</v>
      </c>
      <c r="G191" s="83"/>
      <c r="H191" s="83"/>
      <c r="I191" s="83"/>
      <c r="M191" s="72"/>
      <c r="P191" s="72"/>
      <c r="Q191" s="83" t="s">
        <v>552</v>
      </c>
      <c r="R191" s="78"/>
      <c r="S191" s="78"/>
      <c r="T191" s="83"/>
    </row>
    <row r="192" hidden="1" spans="1:20">
      <c r="A192" s="72" t="s">
        <v>542</v>
      </c>
      <c r="B192" s="83"/>
      <c r="C192" s="92" t="s">
        <v>553</v>
      </c>
      <c r="D192" s="78" t="s">
        <v>554</v>
      </c>
      <c r="E192" s="78">
        <f t="shared" si="12"/>
        <v>1</v>
      </c>
      <c r="F192" s="98" t="s">
        <v>140</v>
      </c>
      <c r="G192" s="83"/>
      <c r="H192" s="83"/>
      <c r="I192" s="83"/>
      <c r="M192" s="72"/>
      <c r="P192" s="72"/>
      <c r="Q192" s="83" t="s">
        <v>555</v>
      </c>
      <c r="R192" s="78"/>
      <c r="S192" s="78"/>
      <c r="T192" s="83"/>
    </row>
    <row r="193" hidden="1" spans="1:20">
      <c r="A193" s="72" t="s">
        <v>542</v>
      </c>
      <c r="B193" s="83"/>
      <c r="C193" s="92" t="s">
        <v>556</v>
      </c>
      <c r="D193" s="78" t="s">
        <v>557</v>
      </c>
      <c r="E193" s="78">
        <f t="shared" si="12"/>
        <v>1</v>
      </c>
      <c r="F193" s="119" t="s">
        <v>140</v>
      </c>
      <c r="G193" s="83"/>
      <c r="H193" s="83"/>
      <c r="I193" s="83"/>
      <c r="M193" s="72"/>
      <c r="P193" s="72"/>
      <c r="Q193" s="83" t="s">
        <v>558</v>
      </c>
      <c r="R193" s="78"/>
      <c r="S193" s="78"/>
      <c r="T193" s="83"/>
    </row>
    <row r="194" hidden="1" spans="1:20">
      <c r="A194" s="72" t="s">
        <v>542</v>
      </c>
      <c r="B194" s="83"/>
      <c r="C194" s="78" t="s">
        <v>513</v>
      </c>
      <c r="D194" s="78" t="s">
        <v>559</v>
      </c>
      <c r="E194" s="78">
        <f t="shared" si="12"/>
        <v>1</v>
      </c>
      <c r="F194" s="98" t="s">
        <v>140</v>
      </c>
      <c r="G194" s="83"/>
      <c r="H194" s="83"/>
      <c r="I194" s="83"/>
      <c r="M194" s="72"/>
      <c r="P194" s="72"/>
      <c r="Q194" s="83" t="s">
        <v>560</v>
      </c>
      <c r="R194" s="78"/>
      <c r="S194" s="78"/>
      <c r="T194" s="83"/>
    </row>
    <row r="195" hidden="1" spans="1:20">
      <c r="A195" s="72" t="s">
        <v>542</v>
      </c>
      <c r="B195" s="83"/>
      <c r="C195" s="78" t="s">
        <v>561</v>
      </c>
      <c r="D195" s="78" t="s">
        <v>562</v>
      </c>
      <c r="E195" s="78">
        <f t="shared" si="12"/>
        <v>1</v>
      </c>
      <c r="F195" s="98" t="s">
        <v>140</v>
      </c>
      <c r="G195" s="83"/>
      <c r="H195" s="83"/>
      <c r="I195" s="83"/>
      <c r="M195" s="72"/>
      <c r="P195" s="72"/>
      <c r="Q195" s="122" t="s">
        <v>563</v>
      </c>
      <c r="R195" s="78"/>
      <c r="S195" s="78"/>
      <c r="T195" s="83"/>
    </row>
    <row r="196" spans="1:20">
      <c r="A196" s="72" t="s">
        <v>542</v>
      </c>
      <c r="B196" s="83"/>
      <c r="C196" s="78" t="s">
        <v>61</v>
      </c>
      <c r="D196" s="78" t="s">
        <v>564</v>
      </c>
      <c r="E196" s="78">
        <f t="shared" si="12"/>
        <v>3</v>
      </c>
      <c r="F196" s="98" t="s">
        <v>63</v>
      </c>
      <c r="G196" s="83"/>
      <c r="H196" s="83" t="s">
        <v>225</v>
      </c>
      <c r="I196" s="93" t="s">
        <v>65</v>
      </c>
      <c r="J196" s="80"/>
      <c r="K196" s="80"/>
      <c r="L196" s="80"/>
      <c r="M196" s="89" t="str">
        <f t="shared" ref="M196:M206" si="14">H196</f>
        <v>b011</v>
      </c>
      <c r="N196" s="80"/>
      <c r="O196" s="88" t="str">
        <f>IF(AND(OR(EXACT(F196,"I"),EXACT(F196,"O")),NOT(EXACT(P196,"NA"))),CONCATENATE("c_reg_test_sel_",RIGHT(IF(B196=0,LOOKUP(2,1/($B$2:B196&lt;&gt;0),$B$2:B196),B196),LEN(IF(B196=0,LOOKUP(2,1/($B$2:B196&lt;&gt;0),$B$2:B196),B196))-FIND(".",IF(B196=0,LOOKUP(2,1/($B$2:B196&lt;&gt;0),$B$2:B196),B196))),IF(0,CONCATENATE("&amp; !c_test_reg_pin_disable_",RIGHT(IF(B196=0,LOOKUP(2,1/($B$2:B196&lt;&gt;0),$B$2:B196),B196),LEN(IF(B196=0,LOOKUP(2,1/($B$2:B196&lt;&gt;0),$B$2:B196),B196))-FIND(".",IF(B196=0,LOOKUP(2,1/($B$2:B196&lt;&gt;0),$B$2:B196),B196)))),""),IF(P196,CONCATENATE("_grp_",P196),""),"/","c_pad_",RIGHT(IF(B196=0,LOOKUP(2,1/($B$2:B196&lt;&gt;0),$B$2:B196),B196),LEN(IF(B196=0,LOOKUP(2,1/($B$2:B196&lt;&gt;0),$B$2:B196),B196))-FIND(".",IF(B196=0,LOOKUP(2,1/($B$2:B196&lt;&gt;0),$B$2:B196),B196))),"_",IF(ISNUMBER(SEARCH("[",D196)),LEFT(D196,FIND("[",D196)-1),D196)),"")</f>
        <v>c_reg_test_sel_pga_inst/c_pad_pga_inst_LI_PGA_BIAS_SEL</v>
      </c>
      <c r="P196" s="82"/>
      <c r="Q196" s="83" t="s">
        <v>565</v>
      </c>
      <c r="R196" s="78" t="s">
        <v>566</v>
      </c>
      <c r="S196" s="78" t="s">
        <v>228</v>
      </c>
      <c r="T196" s="83"/>
    </row>
    <row r="197" spans="1:20">
      <c r="A197" s="72" t="s">
        <v>542</v>
      </c>
      <c r="B197" s="83"/>
      <c r="C197" s="78" t="s">
        <v>61</v>
      </c>
      <c r="D197" s="78" t="s">
        <v>567</v>
      </c>
      <c r="E197" s="78">
        <f t="shared" si="12"/>
        <v>1</v>
      </c>
      <c r="F197" s="98" t="s">
        <v>63</v>
      </c>
      <c r="G197" s="83"/>
      <c r="H197" s="83" t="s">
        <v>64</v>
      </c>
      <c r="I197" s="93" t="s">
        <v>65</v>
      </c>
      <c r="J197" s="80"/>
      <c r="K197" s="80"/>
      <c r="L197" s="80"/>
      <c r="M197" s="89" t="str">
        <f t="shared" si="14"/>
        <v>b0</v>
      </c>
      <c r="N197" s="80"/>
      <c r="O197" s="88" t="str">
        <f>IF(AND(OR(EXACT(F197,"I"),EXACT(F197,"O")),NOT(EXACT(P197,"NA"))),CONCATENATE("c_reg_test_sel_",RIGHT(IF(B197=0,LOOKUP(2,1/($B$2:B197&lt;&gt;0),$B$2:B197),B197),LEN(IF(B197=0,LOOKUP(2,1/($B$2:B197&lt;&gt;0),$B$2:B197),B197))-FIND(".",IF(B197=0,LOOKUP(2,1/($B$2:B197&lt;&gt;0),$B$2:B197),B197))),IF(0,CONCATENATE("&amp; !c_test_reg_pin_disable_",RIGHT(IF(B197=0,LOOKUP(2,1/($B$2:B197&lt;&gt;0),$B$2:B197),B197),LEN(IF(B197=0,LOOKUP(2,1/($B$2:B197&lt;&gt;0),$B$2:B197),B197))-FIND(".",IF(B197=0,LOOKUP(2,1/($B$2:B197&lt;&gt;0),$B$2:B197),B197)))),""),IF(P197,CONCATENATE("_grp_",P197),""),"/","c_pad_",RIGHT(IF(B197=0,LOOKUP(2,1/($B$2:B197&lt;&gt;0),$B$2:B197),B197),LEN(IF(B197=0,LOOKUP(2,1/($B$2:B197&lt;&gt;0),$B$2:B197),B197))-FIND(".",IF(B197=0,LOOKUP(2,1/($B$2:B197&lt;&gt;0),$B$2:B197),B197))),"_",IF(ISNUMBER(SEARCH("[",D197)),LEFT(D197,FIND("[",D197)-1),D197)),"")</f>
        <v>c_reg_test_sel_pga_inst/c_pad_pga_inst_LI_PGA_EN</v>
      </c>
      <c r="P197" s="82"/>
      <c r="Q197" s="83" t="s">
        <v>568</v>
      </c>
      <c r="R197" s="78" t="s">
        <v>569</v>
      </c>
      <c r="S197" s="78" t="s">
        <v>177</v>
      </c>
      <c r="T197" s="83"/>
    </row>
    <row r="198" spans="1:20">
      <c r="A198" s="72" t="s">
        <v>542</v>
      </c>
      <c r="B198" s="83"/>
      <c r="C198" s="78" t="s">
        <v>61</v>
      </c>
      <c r="D198" s="78" t="s">
        <v>570</v>
      </c>
      <c r="E198" s="78">
        <f t="shared" si="12"/>
        <v>2</v>
      </c>
      <c r="F198" s="98" t="s">
        <v>63</v>
      </c>
      <c r="G198" s="83"/>
      <c r="H198" s="83" t="s">
        <v>259</v>
      </c>
      <c r="I198" s="93" t="s">
        <v>65</v>
      </c>
      <c r="J198" s="80"/>
      <c r="K198" s="80"/>
      <c r="L198" s="80"/>
      <c r="M198" s="89" t="str">
        <f t="shared" si="14"/>
        <v>b00</v>
      </c>
      <c r="N198" s="80"/>
      <c r="O198" s="88" t="str">
        <f>IF(AND(OR(EXACT(F198,"I"),EXACT(F198,"O")),NOT(EXACT(P198,"NA"))),CONCATENATE("c_reg_test_sel_",RIGHT(IF(B198=0,LOOKUP(2,1/($B$2:B198&lt;&gt;0),$B$2:B198),B198),LEN(IF(B198=0,LOOKUP(2,1/($B$2:B198&lt;&gt;0),$B$2:B198),B198))-FIND(".",IF(B198=0,LOOKUP(2,1/($B$2:B198&lt;&gt;0),$B$2:B198),B198))),IF(0,CONCATENATE("&amp; !c_test_reg_pin_disable_",RIGHT(IF(B198=0,LOOKUP(2,1/($B$2:B198&lt;&gt;0),$B$2:B198),B198),LEN(IF(B198=0,LOOKUP(2,1/($B$2:B198&lt;&gt;0),$B$2:B198),B198))-FIND(".",IF(B198=0,LOOKUP(2,1/($B$2:B198&lt;&gt;0),$B$2:B198),B198)))),""),IF(P198,CONCATENATE("_grp_",P198),""),"/","c_pad_",RIGHT(IF(B198=0,LOOKUP(2,1/($B$2:B198&lt;&gt;0),$B$2:B198),B198),LEN(IF(B198=0,LOOKUP(2,1/($B$2:B198&lt;&gt;0),$B$2:B198),B198))-FIND(".",IF(B198=0,LOOKUP(2,1/($B$2:B198&lt;&gt;0),$B$2:B198),B198))),"_",IF(ISNUMBER(SEARCH("[",D198)),LEFT(D198,FIND("[",D198)-1),D198)),"")</f>
        <v>c_reg_test_sel_pga_inst/c_pad_pga_inst_LI_PGA_GAIN</v>
      </c>
      <c r="P198" s="82"/>
      <c r="Q198" s="83" t="s">
        <v>571</v>
      </c>
      <c r="R198" s="78" t="s">
        <v>572</v>
      </c>
      <c r="S198" s="78" t="s">
        <v>192</v>
      </c>
      <c r="T198" s="83"/>
    </row>
    <row r="199" spans="1:20">
      <c r="A199" s="72" t="s">
        <v>542</v>
      </c>
      <c r="B199" s="83"/>
      <c r="C199" s="78" t="s">
        <v>61</v>
      </c>
      <c r="D199" s="78" t="s">
        <v>573</v>
      </c>
      <c r="E199" s="78">
        <f t="shared" si="12"/>
        <v>1</v>
      </c>
      <c r="F199" s="98" t="s">
        <v>63</v>
      </c>
      <c r="G199" s="83"/>
      <c r="H199" s="83" t="s">
        <v>64</v>
      </c>
      <c r="I199" s="93" t="s">
        <v>65</v>
      </c>
      <c r="J199" s="80"/>
      <c r="K199" s="80"/>
      <c r="L199" s="80"/>
      <c r="M199" s="89" t="str">
        <f t="shared" si="14"/>
        <v>b0</v>
      </c>
      <c r="N199" s="80"/>
      <c r="O199" s="88" t="str">
        <f>IF(AND(OR(EXACT(F199,"I"),EXACT(F199,"O")),NOT(EXACT(P199,"NA"))),CONCATENATE("c_reg_test_sel_",RIGHT(IF(B199=0,LOOKUP(2,1/($B$2:B199&lt;&gt;0),$B$2:B199),B199),LEN(IF(B199=0,LOOKUP(2,1/($B$2:B199&lt;&gt;0),$B$2:B199),B199))-FIND(".",IF(B199=0,LOOKUP(2,1/($B$2:B199&lt;&gt;0),$B$2:B199),B199))),IF(0,CONCATENATE("&amp; !c_test_reg_pin_disable_",RIGHT(IF(B199=0,LOOKUP(2,1/($B$2:B199&lt;&gt;0),$B$2:B199),B199),LEN(IF(B199=0,LOOKUP(2,1/($B$2:B199&lt;&gt;0),$B$2:B199),B199))-FIND(".",IF(B199=0,LOOKUP(2,1/($B$2:B199&lt;&gt;0),$B$2:B199),B199)))),""),IF(P199,CONCATENATE("_grp_",P199),""),"/","c_pad_",RIGHT(IF(B199=0,LOOKUP(2,1/($B$2:B199&lt;&gt;0),$B$2:B199),B199),LEN(IF(B199=0,LOOKUP(2,1/($B$2:B199&lt;&gt;0),$B$2:B199),B199))-FIND(".",IF(B199=0,LOOKUP(2,1/($B$2:B199&lt;&gt;0),$B$2:B199),B199))),"_",IF(ISNUMBER(SEARCH("[",D199)),LEFT(D199,FIND("[",D199)-1),D199)),"")</f>
        <v>c_reg_test_sel_pga_inst/c_pad_pga_inst_LI_CAL_EN</v>
      </c>
      <c r="P199" s="82"/>
      <c r="Q199" s="83" t="s">
        <v>568</v>
      </c>
      <c r="R199" s="78" t="s">
        <v>574</v>
      </c>
      <c r="S199" s="78" t="s">
        <v>177</v>
      </c>
      <c r="T199" s="83"/>
    </row>
    <row r="200" spans="1:20">
      <c r="A200" s="72" t="s">
        <v>542</v>
      </c>
      <c r="B200" s="83"/>
      <c r="C200" s="78" t="s">
        <v>61</v>
      </c>
      <c r="D200" s="78" t="s">
        <v>575</v>
      </c>
      <c r="E200" s="78">
        <f t="shared" si="12"/>
        <v>2</v>
      </c>
      <c r="F200" s="98" t="s">
        <v>63</v>
      </c>
      <c r="G200" s="83"/>
      <c r="H200" s="83" t="s">
        <v>259</v>
      </c>
      <c r="I200" s="93" t="s">
        <v>65</v>
      </c>
      <c r="J200" s="80"/>
      <c r="K200" s="80"/>
      <c r="L200" s="80"/>
      <c r="M200" s="89" t="str">
        <f t="shared" si="14"/>
        <v>b00</v>
      </c>
      <c r="N200" s="80"/>
      <c r="O200" s="88" t="str">
        <f>IF(AND(OR(EXACT(F200,"I"),EXACT(F200,"O")),NOT(EXACT(P200,"NA"))),CONCATENATE("c_reg_test_sel_",RIGHT(IF(B200=0,LOOKUP(2,1/($B$2:B200&lt;&gt;0),$B$2:B200),B200),LEN(IF(B200=0,LOOKUP(2,1/($B$2:B200&lt;&gt;0),$B$2:B200),B200))-FIND(".",IF(B200=0,LOOKUP(2,1/($B$2:B200&lt;&gt;0),$B$2:B200),B200))),IF(0,CONCATENATE("&amp; !c_test_reg_pin_disable_",RIGHT(IF(B200=0,LOOKUP(2,1/($B$2:B200&lt;&gt;0),$B$2:B200),B200),LEN(IF(B200=0,LOOKUP(2,1/($B$2:B200&lt;&gt;0),$B$2:B200),B200))-FIND(".",IF(B200=0,LOOKUP(2,1/($B$2:B200&lt;&gt;0),$B$2:B200),B200)))),""),IF(P200,CONCATENATE("_grp_",P200),""),"/","c_pad_",RIGHT(IF(B200=0,LOOKUP(2,1/($B$2:B200&lt;&gt;0),$B$2:B200),B200),LEN(IF(B200=0,LOOKUP(2,1/($B$2:B200&lt;&gt;0),$B$2:B200),B200))-FIND(".",IF(B200=0,LOOKUP(2,1/($B$2:B200&lt;&gt;0),$B$2:B200),B200))),"_",IF(ISNUMBER(SEARCH("[",D200)),LEFT(D200,FIND("[",D200)-1),D200)),"")</f>
        <v>c_reg_test_sel_pga_inst/c_pad_pga_inst_LI_CAL_SEL</v>
      </c>
      <c r="P200" s="82"/>
      <c r="Q200" s="83" t="s">
        <v>576</v>
      </c>
      <c r="R200" s="78" t="s">
        <v>574</v>
      </c>
      <c r="S200" s="78" t="s">
        <v>577</v>
      </c>
      <c r="T200" s="83"/>
    </row>
    <row r="201" spans="1:20">
      <c r="A201" s="72" t="s">
        <v>542</v>
      </c>
      <c r="B201" s="83"/>
      <c r="C201" s="78" t="s">
        <v>61</v>
      </c>
      <c r="D201" s="77" t="s">
        <v>578</v>
      </c>
      <c r="E201" s="78">
        <f t="shared" si="12"/>
        <v>6</v>
      </c>
      <c r="F201" s="98" t="s">
        <v>63</v>
      </c>
      <c r="G201" s="83"/>
      <c r="H201" s="83" t="s">
        <v>418</v>
      </c>
      <c r="I201" s="93" t="s">
        <v>65</v>
      </c>
      <c r="J201" s="80"/>
      <c r="K201" s="80"/>
      <c r="L201" s="80"/>
      <c r="M201" s="89" t="str">
        <f t="shared" si="14"/>
        <v>b000000</v>
      </c>
      <c r="N201" s="80"/>
      <c r="O201" s="88" t="str">
        <f>IF(AND(OR(EXACT(F201,"I"),EXACT(F201,"O")),NOT(EXACT(P201,"NA"))),CONCATENATE("c_reg_test_sel_",RIGHT(IF(B201=0,LOOKUP(2,1/($B$2:B201&lt;&gt;0),$B$2:B201),B201),LEN(IF(B201=0,LOOKUP(2,1/($B$2:B201&lt;&gt;0),$B$2:B201),B201))-FIND(".",IF(B201=0,LOOKUP(2,1/($B$2:B201&lt;&gt;0),$B$2:B201),B201))),IF(0,CONCATENATE("&amp; !c_test_reg_pin_disable_",RIGHT(IF(B201=0,LOOKUP(2,1/($B$2:B201&lt;&gt;0),$B$2:B201),B201),LEN(IF(B201=0,LOOKUP(2,1/($B$2:B201&lt;&gt;0),$B$2:B201),B201))-FIND(".",IF(B201=0,LOOKUP(2,1/($B$2:B201&lt;&gt;0),$B$2:B201),B201)))),""),IF(P201,CONCATENATE("_grp_",P201),""),"/","c_pad_",RIGHT(IF(B201=0,LOOKUP(2,1/($B$2:B201&lt;&gt;0),$B$2:B201),B201),LEN(IF(B201=0,LOOKUP(2,1/($B$2:B201&lt;&gt;0),$B$2:B201),B201))-FIND(".",IF(B201=0,LOOKUP(2,1/($B$2:B201&lt;&gt;0),$B$2:B201),B201))),"_",IF(ISNUMBER(SEARCH("[",D201)),LEFT(D201,FIND("[",D201)-1),D201)),"")</f>
        <v>c_reg_test_sel_pga_inst/c_pad_pga_inst_LI_TRIM_OFFSETN</v>
      </c>
      <c r="P201" s="82"/>
      <c r="Q201" s="83" t="s">
        <v>579</v>
      </c>
      <c r="R201" s="78" t="s">
        <v>580</v>
      </c>
      <c r="S201" s="78" t="s">
        <v>214</v>
      </c>
      <c r="T201" s="83"/>
    </row>
    <row r="202" spans="1:20">
      <c r="A202" s="72" t="s">
        <v>542</v>
      </c>
      <c r="B202" s="83"/>
      <c r="C202" s="78" t="s">
        <v>61</v>
      </c>
      <c r="D202" s="77" t="s">
        <v>581</v>
      </c>
      <c r="E202" s="78">
        <f t="shared" si="12"/>
        <v>6</v>
      </c>
      <c r="F202" s="98" t="s">
        <v>63</v>
      </c>
      <c r="G202" s="83"/>
      <c r="H202" s="83" t="s">
        <v>418</v>
      </c>
      <c r="I202" s="93" t="s">
        <v>65</v>
      </c>
      <c r="J202" s="80"/>
      <c r="K202" s="80"/>
      <c r="L202" s="80"/>
      <c r="M202" s="89" t="str">
        <f t="shared" si="14"/>
        <v>b000000</v>
      </c>
      <c r="N202" s="80"/>
      <c r="O202" s="88" t="str">
        <f>IF(AND(OR(EXACT(F202,"I"),EXACT(F202,"O")),NOT(EXACT(P202,"NA"))),CONCATENATE("c_reg_test_sel_",RIGHT(IF(B202=0,LOOKUP(2,1/($B$2:B202&lt;&gt;0),$B$2:B202),B202),LEN(IF(B202=0,LOOKUP(2,1/($B$2:B202&lt;&gt;0),$B$2:B202),B202))-FIND(".",IF(B202=0,LOOKUP(2,1/($B$2:B202&lt;&gt;0),$B$2:B202),B202))),IF(0,CONCATENATE("&amp; !c_test_reg_pin_disable_",RIGHT(IF(B202=0,LOOKUP(2,1/($B$2:B202&lt;&gt;0),$B$2:B202),B202),LEN(IF(B202=0,LOOKUP(2,1/($B$2:B202&lt;&gt;0),$B$2:B202),B202))-FIND(".",IF(B202=0,LOOKUP(2,1/($B$2:B202&lt;&gt;0),$B$2:B202),B202)))),""),IF(P202,CONCATENATE("_grp_",P202),""),"/","c_pad_",RIGHT(IF(B202=0,LOOKUP(2,1/($B$2:B202&lt;&gt;0),$B$2:B202),B202),LEN(IF(B202=0,LOOKUP(2,1/($B$2:B202&lt;&gt;0),$B$2:B202),B202))-FIND(".",IF(B202=0,LOOKUP(2,1/($B$2:B202&lt;&gt;0),$B$2:B202),B202))),"_",IF(ISNUMBER(SEARCH("[",D202)),LEFT(D202,FIND("[",D202)-1),D202)),"")</f>
        <v>c_reg_test_sel_pga_inst/c_pad_pga_inst_LI_TRIM_OFFSETP</v>
      </c>
      <c r="P202" s="82"/>
      <c r="Q202" s="83" t="s">
        <v>579</v>
      </c>
      <c r="R202" s="78" t="s">
        <v>582</v>
      </c>
      <c r="S202" s="78" t="s">
        <v>214</v>
      </c>
      <c r="T202" s="83"/>
    </row>
    <row r="203" spans="1:20">
      <c r="A203" s="72" t="s">
        <v>542</v>
      </c>
      <c r="B203" s="83"/>
      <c r="C203" s="78" t="s">
        <v>61</v>
      </c>
      <c r="D203" s="78" t="s">
        <v>583</v>
      </c>
      <c r="E203" s="78">
        <f t="shared" si="12"/>
        <v>1</v>
      </c>
      <c r="F203" s="98" t="s">
        <v>63</v>
      </c>
      <c r="G203" s="83"/>
      <c r="H203" s="83" t="s">
        <v>64</v>
      </c>
      <c r="I203" s="93" t="s">
        <v>65</v>
      </c>
      <c r="J203" s="80"/>
      <c r="K203" s="80"/>
      <c r="L203" s="80"/>
      <c r="M203" s="89" t="str">
        <f t="shared" si="14"/>
        <v>b0</v>
      </c>
      <c r="N203" s="80"/>
      <c r="O203" s="88" t="str">
        <f>IF(AND(OR(EXACT(F203,"I"),EXACT(F203,"O")),NOT(EXACT(P203,"NA"))),CONCATENATE("c_reg_test_sel_",RIGHT(IF(B203=0,LOOKUP(2,1/($B$2:B203&lt;&gt;0),$B$2:B203),B203),LEN(IF(B203=0,LOOKUP(2,1/($B$2:B203&lt;&gt;0),$B$2:B203),B203))-FIND(".",IF(B203=0,LOOKUP(2,1/($B$2:B203&lt;&gt;0),$B$2:B203),B203))),IF(0,CONCATENATE("&amp; !c_test_reg_pin_disable_",RIGHT(IF(B203=0,LOOKUP(2,1/($B$2:B203&lt;&gt;0),$B$2:B203),B203),LEN(IF(B203=0,LOOKUP(2,1/($B$2:B203&lt;&gt;0),$B$2:B203),B203))-FIND(".",IF(B203=0,LOOKUP(2,1/($B$2:B203&lt;&gt;0),$B$2:B203),B203)))),""),IF(P203,CONCATENATE("_grp_",P203),""),"/","c_pad_",RIGHT(IF(B203=0,LOOKUP(2,1/($B$2:B203&lt;&gt;0),$B$2:B203),B203),LEN(IF(B203=0,LOOKUP(2,1/($B$2:B203&lt;&gt;0),$B$2:B203),B203))-FIND(".",IF(B203=0,LOOKUP(2,1/($B$2:B203&lt;&gt;0),$B$2:B203),B203))),"_",IF(ISNUMBER(SEARCH("[",D203)),LEFT(D203,FIND("[",D203)-1),D203)),"")</f>
        <v>c_reg_test_sel_pga_inst/c_pad_pga_inst_LI_VCOM_EN</v>
      </c>
      <c r="P203" s="82"/>
      <c r="Q203" s="83" t="s">
        <v>568</v>
      </c>
      <c r="R203" s="78" t="s">
        <v>584</v>
      </c>
      <c r="S203" s="78" t="s">
        <v>177</v>
      </c>
      <c r="T203" s="83"/>
    </row>
    <row r="204" spans="1:20">
      <c r="A204" s="72" t="s">
        <v>542</v>
      </c>
      <c r="B204" s="83"/>
      <c r="C204" s="78" t="s">
        <v>61</v>
      </c>
      <c r="D204" s="78" t="s">
        <v>585</v>
      </c>
      <c r="E204" s="78">
        <f t="shared" si="12"/>
        <v>1</v>
      </c>
      <c r="F204" s="98" t="s">
        <v>63</v>
      </c>
      <c r="G204" s="83"/>
      <c r="H204" s="83" t="s">
        <v>64</v>
      </c>
      <c r="I204" s="93" t="s">
        <v>65</v>
      </c>
      <c r="J204" s="80"/>
      <c r="K204" s="80"/>
      <c r="L204" s="80"/>
      <c r="M204" s="89" t="str">
        <f t="shared" si="14"/>
        <v>b0</v>
      </c>
      <c r="N204" s="80"/>
      <c r="O204" s="88" t="str">
        <f>IF(AND(OR(EXACT(F204,"I"),EXACT(F204,"O")),NOT(EXACT(P204,"NA"))),CONCATENATE("c_reg_test_sel_",RIGHT(IF(B204=0,LOOKUP(2,1/($B$2:B204&lt;&gt;0),$B$2:B204),B204),LEN(IF(B204=0,LOOKUP(2,1/($B$2:B204&lt;&gt;0),$B$2:B204),B204))-FIND(".",IF(B204=0,LOOKUP(2,1/($B$2:B204&lt;&gt;0),$B$2:B204),B204))),IF(0,CONCATENATE("&amp; !c_test_reg_pin_disable_",RIGHT(IF(B204=0,LOOKUP(2,1/($B$2:B204&lt;&gt;0),$B$2:B204),B204),LEN(IF(B204=0,LOOKUP(2,1/($B$2:B204&lt;&gt;0),$B$2:B204),B204))-FIND(".",IF(B204=0,LOOKUP(2,1/($B$2:B204&lt;&gt;0),$B$2:B204),B204)))),""),IF(P204,CONCATENATE("_grp_",P204),""),"/","c_pad_",RIGHT(IF(B204=0,LOOKUP(2,1/($B$2:B204&lt;&gt;0),$B$2:B204),B204),LEN(IF(B204=0,LOOKUP(2,1/($B$2:B204&lt;&gt;0),$B$2:B204),B204))-FIND(".",IF(B204=0,LOOKUP(2,1/($B$2:B204&lt;&gt;0),$B$2:B204),B204))),"_",IF(ISNUMBER(SEARCH("[",D204)),LEFT(D204,FIND("[",D204)-1),D204)),"")</f>
        <v>c_reg_test_sel_pga_inst/c_pad_pga_inst_LI_VCOM_MUX</v>
      </c>
      <c r="P204" s="82"/>
      <c r="Q204" s="83"/>
      <c r="R204" s="78" t="s">
        <v>584</v>
      </c>
      <c r="S204" s="78" t="s">
        <v>180</v>
      </c>
      <c r="T204" s="83"/>
    </row>
    <row r="205" ht="31.5" spans="1:20">
      <c r="A205" s="72" t="s">
        <v>542</v>
      </c>
      <c r="B205" s="83"/>
      <c r="C205" s="78" t="s">
        <v>61</v>
      </c>
      <c r="D205" s="78" t="s">
        <v>586</v>
      </c>
      <c r="E205" s="78">
        <f t="shared" si="12"/>
        <v>3</v>
      </c>
      <c r="F205" s="98" t="s">
        <v>63</v>
      </c>
      <c r="G205" s="83"/>
      <c r="H205" s="83" t="s">
        <v>225</v>
      </c>
      <c r="I205" s="93" t="s">
        <v>65</v>
      </c>
      <c r="J205" s="80"/>
      <c r="K205" s="80"/>
      <c r="L205" s="80"/>
      <c r="M205" s="89" t="str">
        <f t="shared" si="14"/>
        <v>b011</v>
      </c>
      <c r="N205" s="80"/>
      <c r="O205" s="88" t="str">
        <f>IF(AND(OR(EXACT(F205,"I"),EXACT(F205,"O")),NOT(EXACT(P205,"NA"))),CONCATENATE("c_reg_test_sel_",RIGHT(IF(B205=0,LOOKUP(2,1/($B$2:B205&lt;&gt;0),$B$2:B205),B205),LEN(IF(B205=0,LOOKUP(2,1/($B$2:B205&lt;&gt;0),$B$2:B205),B205))-FIND(".",IF(B205=0,LOOKUP(2,1/($B$2:B205&lt;&gt;0),$B$2:B205),B205))),IF(0,CONCATENATE("&amp; !c_test_reg_pin_disable_",RIGHT(IF(B205=0,LOOKUP(2,1/($B$2:B205&lt;&gt;0),$B$2:B205),B205),LEN(IF(B205=0,LOOKUP(2,1/($B$2:B205&lt;&gt;0),$B$2:B205),B205))-FIND(".",IF(B205=0,LOOKUP(2,1/($B$2:B205&lt;&gt;0),$B$2:B205),B205)))),""),IF(P205,CONCATENATE("_grp_",P205),""),"/","c_pad_",RIGHT(IF(B205=0,LOOKUP(2,1/($B$2:B205&lt;&gt;0),$B$2:B205),B205),LEN(IF(B205=0,LOOKUP(2,1/($B$2:B205&lt;&gt;0),$B$2:B205),B205))-FIND(".",IF(B205=0,LOOKUP(2,1/($B$2:B205&lt;&gt;0),$B$2:B205),B205))),"_",IF(ISNUMBER(SEARCH("[",D205)),LEFT(D205,FIND("[",D205)-1),D205)),"")</f>
        <v>c_reg_test_sel_pga_inst/c_pad_pga_inst_LI_VCOM_SEL</v>
      </c>
      <c r="P205" s="82"/>
      <c r="Q205" s="83" t="s">
        <v>587</v>
      </c>
      <c r="R205" s="78" t="s">
        <v>584</v>
      </c>
      <c r="S205" s="78" t="s">
        <v>302</v>
      </c>
      <c r="T205" s="83"/>
    </row>
    <row r="206" spans="1:20">
      <c r="A206" s="72" t="s">
        <v>542</v>
      </c>
      <c r="B206" s="83"/>
      <c r="C206" s="78" t="s">
        <v>61</v>
      </c>
      <c r="D206" s="78" t="s">
        <v>588</v>
      </c>
      <c r="E206" s="78">
        <f t="shared" si="12"/>
        <v>1</v>
      </c>
      <c r="F206" s="98" t="s">
        <v>63</v>
      </c>
      <c r="G206" s="83"/>
      <c r="H206" s="83" t="s">
        <v>64</v>
      </c>
      <c r="I206" s="93" t="s">
        <v>65</v>
      </c>
      <c r="J206" s="80"/>
      <c r="K206" s="80"/>
      <c r="L206" s="80"/>
      <c r="M206" s="89" t="str">
        <f t="shared" si="14"/>
        <v>b0</v>
      </c>
      <c r="N206" s="80"/>
      <c r="O206" s="88" t="str">
        <f>IF(AND(OR(EXACT(F206,"I"),EXACT(F206,"O")),NOT(EXACT(P206,"NA"))),CONCATENATE("c_reg_test_sel_",RIGHT(IF(B206=0,LOOKUP(2,1/($B$2:B206&lt;&gt;0),$B$2:B206),B206),LEN(IF(B206=0,LOOKUP(2,1/($B$2:B206&lt;&gt;0),$B$2:B206),B206))-FIND(".",IF(B206=0,LOOKUP(2,1/($B$2:B206&lt;&gt;0),$B$2:B206),B206))),IF(0,CONCATENATE("&amp; !c_test_reg_pin_disable_",RIGHT(IF(B206=0,LOOKUP(2,1/($B$2:B206&lt;&gt;0),$B$2:B206),B206),LEN(IF(B206=0,LOOKUP(2,1/($B$2:B206&lt;&gt;0),$B$2:B206),B206))-FIND(".",IF(B206=0,LOOKUP(2,1/($B$2:B206&lt;&gt;0),$B$2:B206),B206)))),""),IF(P206,CONCATENATE("_grp_",P206),""),"/","c_pad_",RIGHT(IF(B206=0,LOOKUP(2,1/($B$2:B206&lt;&gt;0),$B$2:B206),B206),LEN(IF(B206=0,LOOKUP(2,1/($B$2:B206&lt;&gt;0),$B$2:B206),B206))-FIND(".",IF(B206=0,LOOKUP(2,1/($B$2:B206&lt;&gt;0),$B$2:B206),B206))),"_",IF(ISNUMBER(SEARCH("[",D206)),LEFT(D206,FIND("[",D206)-1),D206)),"")</f>
        <v>c_reg_test_sel_pga_inst/c_pad_pga_inst_LI_VCOM_TEST</v>
      </c>
      <c r="P206" s="82"/>
      <c r="Q206" s="83" t="s">
        <v>589</v>
      </c>
      <c r="R206" s="78" t="s">
        <v>584</v>
      </c>
      <c r="S206" s="78" t="s">
        <v>326</v>
      </c>
      <c r="T206" s="83"/>
    </row>
    <row r="207" hidden="1" spans="1:20">
      <c r="A207" s="72" t="s">
        <v>542</v>
      </c>
      <c r="B207" s="83"/>
      <c r="C207" s="94" t="s">
        <v>153</v>
      </c>
      <c r="D207" s="94" t="s">
        <v>590</v>
      </c>
      <c r="E207" s="78">
        <f t="shared" si="12"/>
        <v>1</v>
      </c>
      <c r="F207" s="98" t="s">
        <v>52</v>
      </c>
      <c r="G207" s="83"/>
      <c r="H207" s="83"/>
      <c r="I207" s="102"/>
      <c r="M207" s="72"/>
      <c r="P207" s="72"/>
      <c r="Q207" s="102"/>
      <c r="R207" s="78"/>
      <c r="S207" s="78"/>
      <c r="T207" s="83"/>
    </row>
    <row r="208" hidden="1" spans="1:20">
      <c r="A208" s="72" t="s">
        <v>542</v>
      </c>
      <c r="B208" s="83"/>
      <c r="C208" s="92" t="s">
        <v>591</v>
      </c>
      <c r="D208" s="78" t="s">
        <v>592</v>
      </c>
      <c r="E208" s="78">
        <f t="shared" si="12"/>
        <v>1</v>
      </c>
      <c r="F208" s="98" t="s">
        <v>140</v>
      </c>
      <c r="G208" s="83"/>
      <c r="H208" s="83"/>
      <c r="I208" s="83"/>
      <c r="M208" s="72"/>
      <c r="P208" s="72"/>
      <c r="Q208" s="83" t="s">
        <v>593</v>
      </c>
      <c r="R208" s="78"/>
      <c r="S208" s="78"/>
      <c r="T208" s="83"/>
    </row>
    <row r="209" hidden="1" spans="1:20">
      <c r="A209" s="72" t="s">
        <v>542</v>
      </c>
      <c r="B209" s="83"/>
      <c r="C209" s="78" t="s">
        <v>594</v>
      </c>
      <c r="D209" s="78" t="s">
        <v>595</v>
      </c>
      <c r="E209" s="78">
        <v>1</v>
      </c>
      <c r="F209" s="98" t="s">
        <v>52</v>
      </c>
      <c r="G209" s="83"/>
      <c r="H209" s="83"/>
      <c r="I209" s="83"/>
      <c r="M209" s="72"/>
      <c r="P209" s="72"/>
      <c r="Q209" s="83" t="s">
        <v>596</v>
      </c>
      <c r="R209" s="78"/>
      <c r="S209" s="78"/>
      <c r="T209" s="83"/>
    </row>
    <row r="210" hidden="1" spans="1:20">
      <c r="A210" s="72" t="s">
        <v>597</v>
      </c>
      <c r="B210" s="83" t="s">
        <v>597</v>
      </c>
      <c r="C210" s="78" t="s">
        <v>598</v>
      </c>
      <c r="D210" s="78" t="s">
        <v>599</v>
      </c>
      <c r="E210" s="78">
        <f>IF(AND(ISNUMBER(FIND("[",D210)),ISNUMBER(FIND("]",D210)),ISNUMBER(FIND(":",D210))),MID(D210,FIND("[",D210)+1,FIND(":",D210)-FIND("[",D210)-1)+1-MID(D210,FIND(":",D210)+1,FIND("]",D210)-FIND(":",D210)-1),IF(OR(ISNUMBER(FIND("[",D210)),ISNUMBER(FIND("]",D210)),ISNUMBER(FIND(":",D210))),"ERROR",1))</f>
        <v>1</v>
      </c>
      <c r="F210" s="98" t="s">
        <v>52</v>
      </c>
      <c r="G210" s="83"/>
      <c r="H210" s="83"/>
      <c r="I210" s="83"/>
      <c r="M210" s="72"/>
      <c r="P210" s="72"/>
      <c r="Q210" s="83" t="s">
        <v>600</v>
      </c>
      <c r="R210" s="78"/>
      <c r="S210" s="78"/>
      <c r="T210" s="83"/>
    </row>
    <row r="211" hidden="1" spans="1:20">
      <c r="A211" s="72" t="s">
        <v>597</v>
      </c>
      <c r="B211" s="83"/>
      <c r="C211" s="78" t="s">
        <v>601</v>
      </c>
      <c r="D211" s="78" t="s">
        <v>148</v>
      </c>
      <c r="E211" s="78">
        <f>IF(AND(ISNUMBER(FIND("[",D211)),ISNUMBER(FIND("]",D211)),ISNUMBER(FIND(":",D211))),MID(D211,FIND("[",D211)+1,FIND(":",D211)-FIND("[",D211)-1)+1-MID(D211,FIND(":",D211)+1,FIND("]",D211)-FIND(":",D211)-1),IF(OR(ISNUMBER(FIND("[",D211)),ISNUMBER(FIND("]",D211)),ISNUMBER(FIND(":",D211))),"ERROR",1))</f>
        <v>1</v>
      </c>
      <c r="F211" s="98" t="s">
        <v>52</v>
      </c>
      <c r="G211" s="83"/>
      <c r="H211" s="83"/>
      <c r="I211" s="83"/>
      <c r="M211" s="72"/>
      <c r="P211" s="72"/>
      <c r="Q211" s="83" t="s">
        <v>602</v>
      </c>
      <c r="R211" s="78"/>
      <c r="S211" s="78"/>
      <c r="T211" s="83"/>
    </row>
    <row r="212" hidden="1" spans="1:20">
      <c r="A212" s="72" t="s">
        <v>597</v>
      </c>
      <c r="B212" s="83"/>
      <c r="C212" s="78" t="s">
        <v>603</v>
      </c>
      <c r="D212" s="78" t="s">
        <v>604</v>
      </c>
      <c r="E212" s="78">
        <f>IF(AND(ISNUMBER(FIND("[",D212)),ISNUMBER(FIND("]",D212)),ISNUMBER(FIND(":",D212))),MID(D212,FIND("[",D212)+1,FIND(":",D212)-FIND("[",D212)-1)+1-MID(D212,FIND(":",D212)+1,FIND("]",D212)-FIND(":",D212)-1),IF(OR(ISNUMBER(FIND("[",D212)),ISNUMBER(FIND("]",D212)),ISNUMBER(FIND(":",D212))),"ERROR",1))</f>
        <v>1</v>
      </c>
      <c r="F212" s="98" t="s">
        <v>52</v>
      </c>
      <c r="G212" s="83"/>
      <c r="H212" s="83"/>
      <c r="I212" s="83"/>
      <c r="M212" s="72"/>
      <c r="P212" s="72"/>
      <c r="Q212" s="83" t="s">
        <v>605</v>
      </c>
      <c r="R212" s="78"/>
      <c r="S212" s="78"/>
      <c r="T212" s="83"/>
    </row>
    <row r="213" hidden="1" spans="1:20">
      <c r="A213" s="72" t="s">
        <v>597</v>
      </c>
      <c r="B213" s="83"/>
      <c r="C213" s="78" t="s">
        <v>50</v>
      </c>
      <c r="D213" s="78" t="s">
        <v>606</v>
      </c>
      <c r="E213" s="78">
        <f>IF(AND(ISNUMBER(FIND("[",D213)),ISNUMBER(FIND("]",D213)),ISNUMBER(FIND(":",D213))),MID(D213,FIND("[",D213)+1,FIND(":",D213)-FIND("[",D213)-1)+1-MID(D213,FIND(":",D213)+1,FIND("]",D213)-FIND(":",D213)-1),IF(OR(ISNUMBER(FIND("[",D213)),ISNUMBER(FIND("]",D213)),ISNUMBER(FIND(":",D213))),"ERROR",1))</f>
        <v>1</v>
      </c>
      <c r="F213" s="98" t="s">
        <v>140</v>
      </c>
      <c r="G213" s="83"/>
      <c r="H213" s="83"/>
      <c r="I213" s="83"/>
      <c r="M213" s="72"/>
      <c r="P213" s="72"/>
      <c r="Q213" s="83" t="s">
        <v>607</v>
      </c>
      <c r="R213" s="78"/>
      <c r="S213" s="78"/>
      <c r="T213" s="83"/>
    </row>
    <row r="214" hidden="1" spans="1:20">
      <c r="A214" s="72" t="s">
        <v>597</v>
      </c>
      <c r="B214" s="83"/>
      <c r="C214" s="78" t="s">
        <v>50</v>
      </c>
      <c r="D214" s="78" t="s">
        <v>608</v>
      </c>
      <c r="E214" s="78">
        <f>IF(AND(ISNUMBER(FIND("[",D214)),ISNUMBER(FIND("]",D214)),ISNUMBER(FIND(":",D214))),MID(D214,FIND("[",D214)+1,FIND(":",D214)-FIND("[",D214)-1)+1-MID(D214,FIND(":",D214)+1,FIND("]",D214)-FIND(":",D214)-1),IF(OR(ISNUMBER(FIND("[",D214)),ISNUMBER(FIND("]",D214)),ISNUMBER(FIND(":",D214))),"ERROR",1))</f>
        <v>1</v>
      </c>
      <c r="F214" s="98" t="s">
        <v>52</v>
      </c>
      <c r="G214" s="93" t="s">
        <v>130</v>
      </c>
      <c r="H214" s="83"/>
      <c r="I214" s="83"/>
      <c r="M214" s="72"/>
      <c r="P214" s="72"/>
      <c r="Q214" s="83" t="s">
        <v>609</v>
      </c>
      <c r="R214" s="78"/>
      <c r="S214" s="78"/>
      <c r="T214" s="83"/>
    </row>
    <row r="215" hidden="1" spans="1:20">
      <c r="A215" s="72" t="s">
        <v>597</v>
      </c>
      <c r="B215" s="83"/>
      <c r="C215" s="94" t="s">
        <v>610</v>
      </c>
      <c r="D215" s="94" t="s">
        <v>611</v>
      </c>
      <c r="E215" s="78">
        <v>1</v>
      </c>
      <c r="F215" s="98" t="s">
        <v>52</v>
      </c>
      <c r="G215" s="93"/>
      <c r="H215" s="83"/>
      <c r="I215" s="83"/>
      <c r="M215" s="72"/>
      <c r="P215" s="72"/>
      <c r="Q215" s="83"/>
      <c r="R215" s="78"/>
      <c r="S215" s="78"/>
      <c r="T215" s="83"/>
    </row>
    <row r="216" hidden="1" spans="1:20">
      <c r="A216" s="72" t="s">
        <v>597</v>
      </c>
      <c r="B216" s="83"/>
      <c r="C216" s="78" t="s">
        <v>53</v>
      </c>
      <c r="D216" s="85" t="s">
        <v>612</v>
      </c>
      <c r="E216" s="78">
        <f t="shared" ref="E216:E256" si="15">IF(AND(ISNUMBER(FIND("[",D216)),ISNUMBER(FIND("]",D216)),ISNUMBER(FIND(":",D216))),MID(D216,FIND("[",D216)+1,FIND(":",D216)-FIND("[",D216)-1)+1-MID(D216,FIND(":",D216)+1,FIND("]",D216)-FIND(":",D216)-1),IF(OR(ISNUMBER(FIND("[",D216)),ISNUMBER(FIND("]",D216)),ISNUMBER(FIND(":",D216))),"ERROR",1))</f>
        <v>1</v>
      </c>
      <c r="F216" s="98" t="s">
        <v>55</v>
      </c>
      <c r="G216" s="83"/>
      <c r="H216" s="83"/>
      <c r="I216" s="83"/>
      <c r="M216" s="72"/>
      <c r="P216" s="72"/>
      <c r="Q216" s="83" t="s">
        <v>613</v>
      </c>
      <c r="R216" s="78"/>
      <c r="S216" s="78"/>
      <c r="T216" s="83"/>
    </row>
    <row r="217" hidden="1" spans="1:20">
      <c r="A217" s="72" t="s">
        <v>597</v>
      </c>
      <c r="B217" s="83"/>
      <c r="C217" s="78" t="s">
        <v>53</v>
      </c>
      <c r="D217" s="85" t="s">
        <v>614</v>
      </c>
      <c r="E217" s="78">
        <f t="shared" si="15"/>
        <v>1</v>
      </c>
      <c r="F217" s="98" t="s">
        <v>55</v>
      </c>
      <c r="G217" s="83"/>
      <c r="H217" s="83"/>
      <c r="I217" s="83"/>
      <c r="M217" s="72"/>
      <c r="P217" s="72"/>
      <c r="Q217" s="83"/>
      <c r="R217" s="78"/>
      <c r="S217" s="78"/>
      <c r="T217" s="83"/>
    </row>
    <row r="218" spans="1:20">
      <c r="A218" s="72" t="s">
        <v>597</v>
      </c>
      <c r="B218" s="83"/>
      <c r="C218" s="78" t="s">
        <v>61</v>
      </c>
      <c r="D218" s="78" t="s">
        <v>615</v>
      </c>
      <c r="E218" s="78">
        <f t="shared" si="15"/>
        <v>12</v>
      </c>
      <c r="F218" s="98" t="s">
        <v>63</v>
      </c>
      <c r="G218" s="83"/>
      <c r="H218" s="83" t="s">
        <v>616</v>
      </c>
      <c r="I218" s="93" t="s">
        <v>65</v>
      </c>
      <c r="J218" s="80"/>
      <c r="K218" s="80"/>
      <c r="L218" s="80"/>
      <c r="M218" s="89" t="str">
        <f>H218</f>
        <v>b000000000000</v>
      </c>
      <c r="N218" s="80"/>
      <c r="O218" s="88" t="str">
        <f>IF(AND(OR(EXACT(F218,"I"),EXACT(F218,"O")),NOT(EXACT(P218,"NA"))),CONCATENATE("c_reg_test_sel_",RIGHT(IF(B218=0,LOOKUP(2,1/($B$2:B218&lt;&gt;0),$B$2:B218),B218),LEN(IF(B218=0,LOOKUP(2,1/($B$2:B218&lt;&gt;0),$B$2:B218),B218))-FIND(".",IF(B218=0,LOOKUP(2,1/($B$2:B218&lt;&gt;0),$B$2:B218),B218))),IF(0,CONCATENATE("&amp; !c_test_reg_pin_disable_",RIGHT(IF(B218=0,LOOKUP(2,1/($B$2:B218&lt;&gt;0),$B$2:B218),B218),LEN(IF(B218=0,LOOKUP(2,1/($B$2:B218&lt;&gt;0),$B$2:B218),B218))-FIND(".",IF(B218=0,LOOKUP(2,1/($B$2:B218&lt;&gt;0),$B$2:B218),B218)))),""),IF(P218,CONCATENATE("_grp_",P218),""),"/","c_pad_",RIGHT(IF(B218=0,LOOKUP(2,1/($B$2:B218&lt;&gt;0),$B$2:B218),B218),LEN(IF(B218=0,LOOKUP(2,1/($B$2:B218&lt;&gt;0),$B$2:B218),B218))-FIND(".",IF(B218=0,LOOKUP(2,1/($B$2:B218&lt;&gt;0),$B$2:B218),B218))),"_",IF(ISNUMBER(SEARCH("[",D218)),LEFT(D218,FIND("[",D218)-1),D218)),"")</f>
        <v>c_reg_test_sel_dac_inst/c_pad_dac_inst_LI_DIN</v>
      </c>
      <c r="P218" s="82"/>
      <c r="Q218" s="83" t="s">
        <v>617</v>
      </c>
      <c r="R218" s="78" t="s">
        <v>618</v>
      </c>
      <c r="S218" s="78" t="s">
        <v>619</v>
      </c>
      <c r="T218" s="83"/>
    </row>
    <row r="219" spans="1:20">
      <c r="A219" s="72" t="s">
        <v>597</v>
      </c>
      <c r="B219" s="83"/>
      <c r="C219" s="78" t="s">
        <v>61</v>
      </c>
      <c r="D219" s="78" t="s">
        <v>62</v>
      </c>
      <c r="E219" s="78">
        <f t="shared" si="15"/>
        <v>1</v>
      </c>
      <c r="F219" s="98" t="s">
        <v>63</v>
      </c>
      <c r="G219" s="83"/>
      <c r="H219" s="83" t="s">
        <v>64</v>
      </c>
      <c r="I219" s="93" t="s">
        <v>65</v>
      </c>
      <c r="J219" s="80"/>
      <c r="K219" s="80"/>
      <c r="L219" s="80"/>
      <c r="M219" s="89" t="str">
        <f>H219</f>
        <v>b0</v>
      </c>
      <c r="N219" s="80"/>
      <c r="O219" s="88" t="str">
        <f>IF(AND(OR(EXACT(F219,"I"),EXACT(F219,"O")),NOT(EXACT(P219,"NA"))),CONCATENATE("c_reg_test_sel_",RIGHT(IF(B219=0,LOOKUP(2,1/($B$2:B219&lt;&gt;0),$B$2:B219),B219),LEN(IF(B219=0,LOOKUP(2,1/($B$2:B219&lt;&gt;0),$B$2:B219),B219))-FIND(".",IF(B219=0,LOOKUP(2,1/($B$2:B219&lt;&gt;0),$B$2:B219),B219))),IF(0,CONCATENATE("&amp; !c_test_reg_pin_disable_",RIGHT(IF(B219=0,LOOKUP(2,1/($B$2:B219&lt;&gt;0),$B$2:B219),B219),LEN(IF(B219=0,LOOKUP(2,1/($B$2:B219&lt;&gt;0),$B$2:B219),B219))-FIND(".",IF(B219=0,LOOKUP(2,1/($B$2:B219&lt;&gt;0),$B$2:B219),B219)))),""),IF(P219,CONCATENATE("_grp_",P219),""),"/","c_pad_",RIGHT(IF(B219=0,LOOKUP(2,1/($B$2:B219&lt;&gt;0),$B$2:B219),B219),LEN(IF(B219=0,LOOKUP(2,1/($B$2:B219&lt;&gt;0),$B$2:B219),B219))-FIND(".",IF(B219=0,LOOKUP(2,1/($B$2:B219&lt;&gt;0),$B$2:B219),B219))),"_",IF(ISNUMBER(SEARCH("[",D219)),LEFT(D219,FIND("[",D219)-1),D219)),"")</f>
        <v>c_reg_test_sel_dac_inst/c_pad_dac_inst_LI_EN</v>
      </c>
      <c r="P219" s="82"/>
      <c r="Q219" s="83" t="s">
        <v>620</v>
      </c>
      <c r="R219" s="78" t="s">
        <v>621</v>
      </c>
      <c r="S219" s="78" t="s">
        <v>177</v>
      </c>
      <c r="T219" s="83"/>
    </row>
    <row r="220" spans="1:20">
      <c r="A220" s="72" t="s">
        <v>597</v>
      </c>
      <c r="B220" s="83"/>
      <c r="C220" s="78" t="s">
        <v>61</v>
      </c>
      <c r="D220" s="78" t="s">
        <v>622</v>
      </c>
      <c r="E220" s="78">
        <f t="shared" si="15"/>
        <v>1</v>
      </c>
      <c r="F220" s="98" t="s">
        <v>63</v>
      </c>
      <c r="G220" s="83"/>
      <c r="H220" s="83" t="s">
        <v>265</v>
      </c>
      <c r="I220" s="93" t="s">
        <v>65</v>
      </c>
      <c r="J220" s="80"/>
      <c r="K220" s="80"/>
      <c r="L220" s="80"/>
      <c r="M220" s="89" t="str">
        <f>H220</f>
        <v>b1</v>
      </c>
      <c r="N220" s="80"/>
      <c r="O220" s="88" t="str">
        <f>IF(AND(OR(EXACT(F220,"I"),EXACT(F220,"O")),NOT(EXACT(P220,"NA"))),CONCATENATE("c_reg_test_sel_",RIGHT(IF(B220=0,LOOKUP(2,1/($B$2:B220&lt;&gt;0),$B$2:B220),B220),LEN(IF(B220=0,LOOKUP(2,1/($B$2:B220&lt;&gt;0),$B$2:B220),B220))-FIND(".",IF(B220=0,LOOKUP(2,1/($B$2:B220&lt;&gt;0),$B$2:B220),B220))),IF(0,CONCATENATE("&amp; !c_test_reg_pin_disable_",RIGHT(IF(B220=0,LOOKUP(2,1/($B$2:B220&lt;&gt;0),$B$2:B220),B220),LEN(IF(B220=0,LOOKUP(2,1/($B$2:B220&lt;&gt;0),$B$2:B220),B220))-FIND(".",IF(B220=0,LOOKUP(2,1/($B$2:B220&lt;&gt;0),$B$2:B220),B220)))),""),IF(P220,CONCATENATE("_grp_",P220),""),"/","c_pad_",RIGHT(IF(B220=0,LOOKUP(2,1/($B$2:B220&lt;&gt;0),$B$2:B220),B220),LEN(IF(B220=0,LOOKUP(2,1/($B$2:B220&lt;&gt;0),$B$2:B220),B220))-FIND(".",IF(B220=0,LOOKUP(2,1/($B$2:B220&lt;&gt;0),$B$2:B220),B220))),"_",IF(ISNUMBER(SEARCH("[",D220)),LEFT(D220,FIND("[",D220)-1),D220)),"")</f>
        <v>c_reg_test_sel_dac_inst/c_pad_dac_inst_LI_ENBUF</v>
      </c>
      <c r="P220" s="82"/>
      <c r="Q220" s="83" t="s">
        <v>623</v>
      </c>
      <c r="R220" s="78" t="s">
        <v>624</v>
      </c>
      <c r="S220" s="78" t="s">
        <v>177</v>
      </c>
      <c r="T220" s="83"/>
    </row>
    <row r="221" hidden="1" spans="1:20">
      <c r="A221" s="72" t="s">
        <v>597</v>
      </c>
      <c r="B221" s="83"/>
      <c r="C221" s="78" t="s">
        <v>625</v>
      </c>
      <c r="D221" s="78" t="s">
        <v>626</v>
      </c>
      <c r="E221" s="78">
        <f t="shared" si="15"/>
        <v>1</v>
      </c>
      <c r="F221" s="98" t="s">
        <v>140</v>
      </c>
      <c r="G221" s="83"/>
      <c r="H221" s="83"/>
      <c r="I221" s="102"/>
      <c r="M221" s="72"/>
      <c r="P221" s="72"/>
      <c r="Q221" s="102" t="s">
        <v>627</v>
      </c>
      <c r="R221" s="78"/>
      <c r="S221" s="78"/>
      <c r="T221" s="83"/>
    </row>
    <row r="222" hidden="1" spans="1:20">
      <c r="A222" s="72" t="s">
        <v>628</v>
      </c>
      <c r="B222" s="83" t="s">
        <v>628</v>
      </c>
      <c r="C222" s="78" t="s">
        <v>56</v>
      </c>
      <c r="D222" s="78" t="s">
        <v>629</v>
      </c>
      <c r="E222" s="78">
        <f t="shared" si="15"/>
        <v>1</v>
      </c>
      <c r="F222" s="98" t="s">
        <v>55</v>
      </c>
      <c r="G222" s="83"/>
      <c r="H222" s="83"/>
      <c r="I222" s="83"/>
      <c r="M222" s="72"/>
      <c r="P222" s="72"/>
      <c r="Q222" s="82" t="s">
        <v>630</v>
      </c>
      <c r="R222" s="78"/>
      <c r="S222" s="78"/>
      <c r="T222" s="83"/>
    </row>
    <row r="223" hidden="1" spans="1:20">
      <c r="A223" s="72" t="s">
        <v>631</v>
      </c>
      <c r="B223" s="83"/>
      <c r="C223" s="78" t="s">
        <v>440</v>
      </c>
      <c r="D223" s="78" t="s">
        <v>632</v>
      </c>
      <c r="E223" s="78">
        <f t="shared" si="15"/>
        <v>1</v>
      </c>
      <c r="F223" s="98" t="s">
        <v>52</v>
      </c>
      <c r="G223" s="83"/>
      <c r="H223" s="83"/>
      <c r="I223" s="83"/>
      <c r="M223" s="72"/>
      <c r="P223" s="72"/>
      <c r="Q223" s="82" t="s">
        <v>544</v>
      </c>
      <c r="R223" s="78"/>
      <c r="S223" s="78"/>
      <c r="T223" s="83"/>
    </row>
    <row r="224" hidden="1" spans="1:20">
      <c r="A224" s="72" t="s">
        <v>633</v>
      </c>
      <c r="B224" s="83"/>
      <c r="C224" s="78" t="s">
        <v>50</v>
      </c>
      <c r="D224" s="78" t="s">
        <v>634</v>
      </c>
      <c r="E224" s="78">
        <f t="shared" si="15"/>
        <v>1</v>
      </c>
      <c r="F224" s="98" t="s">
        <v>52</v>
      </c>
      <c r="G224" s="93" t="s">
        <v>130</v>
      </c>
      <c r="H224" s="83"/>
      <c r="I224" s="83"/>
      <c r="M224" s="72"/>
      <c r="P224" s="72"/>
      <c r="Q224" s="82" t="s">
        <v>635</v>
      </c>
      <c r="R224" s="78"/>
      <c r="S224" s="78"/>
      <c r="T224" s="83"/>
    </row>
    <row r="225" hidden="1" spans="1:20">
      <c r="A225" s="72" t="s">
        <v>636</v>
      </c>
      <c r="B225" s="83"/>
      <c r="C225" s="78" t="s">
        <v>53</v>
      </c>
      <c r="D225" s="78" t="s">
        <v>547</v>
      </c>
      <c r="E225" s="78">
        <f t="shared" si="15"/>
        <v>1</v>
      </c>
      <c r="F225" s="98" t="s">
        <v>55</v>
      </c>
      <c r="G225" s="83"/>
      <c r="H225" s="83"/>
      <c r="I225" s="83"/>
      <c r="M225" s="72"/>
      <c r="P225" s="72"/>
      <c r="Q225" s="82" t="s">
        <v>630</v>
      </c>
      <c r="R225" s="78"/>
      <c r="S225" s="78"/>
      <c r="T225" s="83"/>
    </row>
    <row r="226" hidden="1" spans="1:20">
      <c r="A226" s="72" t="s">
        <v>637</v>
      </c>
      <c r="B226" s="83"/>
      <c r="C226" s="78" t="s">
        <v>638</v>
      </c>
      <c r="D226" s="78" t="s">
        <v>639</v>
      </c>
      <c r="E226" s="78">
        <f t="shared" si="15"/>
        <v>1</v>
      </c>
      <c r="F226" s="98" t="s">
        <v>140</v>
      </c>
      <c r="G226" s="83"/>
      <c r="H226" s="83"/>
      <c r="I226" s="83"/>
      <c r="M226" s="72"/>
      <c r="P226" s="72"/>
      <c r="Q226" s="82" t="s">
        <v>640</v>
      </c>
      <c r="R226" s="78"/>
      <c r="S226" s="78"/>
      <c r="T226" s="83"/>
    </row>
    <row r="227" spans="1:20">
      <c r="A227" s="72" t="s">
        <v>641</v>
      </c>
      <c r="B227" s="83"/>
      <c r="C227" s="78" t="s">
        <v>61</v>
      </c>
      <c r="D227" s="78" t="s">
        <v>642</v>
      </c>
      <c r="E227" s="78">
        <f t="shared" si="15"/>
        <v>1</v>
      </c>
      <c r="F227" s="98" t="s">
        <v>63</v>
      </c>
      <c r="G227" s="83"/>
      <c r="H227" s="83" t="s">
        <v>64</v>
      </c>
      <c r="I227" s="93" t="s">
        <v>65</v>
      </c>
      <c r="J227" s="80"/>
      <c r="K227" s="80"/>
      <c r="L227" s="80"/>
      <c r="M227" s="89" t="str">
        <f>H227</f>
        <v>b0</v>
      </c>
      <c r="N227" s="80"/>
      <c r="O227" s="88" t="str">
        <f>IF(AND(OR(EXACT(F227,"I"),EXACT(F227,"O")),NOT(EXACT(P227,"NA"))),CONCATENATE("c_reg_test_sel_",RIGHT(IF(B227=0,LOOKUP(2,1/($B$2:B227&lt;&gt;0),$B$2:B227),B227),LEN(IF(B227=0,LOOKUP(2,1/($B$2:B227&lt;&gt;0),$B$2:B227),B227))-FIND(".",IF(B227=0,LOOKUP(2,1/($B$2:B227&lt;&gt;0),$B$2:B227),B227))),IF(0,CONCATENATE("&amp; !c_test_reg_pin_disable_",RIGHT(IF(B227=0,LOOKUP(2,1/($B$2:B227&lt;&gt;0),$B$2:B227),B227),LEN(IF(B227=0,LOOKUP(2,1/($B$2:B227&lt;&gt;0),$B$2:B227),B227))-FIND(".",IF(B227=0,LOOKUP(2,1/($B$2:B227&lt;&gt;0),$B$2:B227),B227)))),""),IF(P227,CONCATENATE("_grp_",P227),""),"/","c_pad_",RIGHT(IF(B227=0,LOOKUP(2,1/($B$2:B227&lt;&gt;0),$B$2:B227),B227),LEN(IF(B227=0,LOOKUP(2,1/($B$2:B227&lt;&gt;0),$B$2:B227),B227))-FIND(".",IF(B227=0,LOOKUP(2,1/($B$2:B227&lt;&gt;0),$B$2:B227),B227))),"_",IF(ISNUMBER(SEARCH("[",D227)),LEFT(D227,FIND("[",D227)-1),D227)),"")</f>
        <v>c_reg_test_sel_osc48m_inst/c_pad_osc48m_inst_LI_RC48M_EN</v>
      </c>
      <c r="P227" s="82"/>
      <c r="Q227" s="82" t="s">
        <v>643</v>
      </c>
      <c r="R227" s="78" t="s">
        <v>644</v>
      </c>
      <c r="S227" s="78" t="s">
        <v>177</v>
      </c>
      <c r="T227" s="83"/>
    </row>
    <row r="228" spans="1:20">
      <c r="A228" s="72" t="s">
        <v>645</v>
      </c>
      <c r="B228" s="83"/>
      <c r="C228" s="78" t="s">
        <v>61</v>
      </c>
      <c r="D228" s="77" t="s">
        <v>646</v>
      </c>
      <c r="E228" s="78">
        <f t="shared" si="15"/>
        <v>10</v>
      </c>
      <c r="F228" s="98" t="s">
        <v>63</v>
      </c>
      <c r="G228" s="83"/>
      <c r="H228" s="104" t="s">
        <v>647</v>
      </c>
      <c r="I228" s="93" t="s">
        <v>65</v>
      </c>
      <c r="J228" s="80"/>
      <c r="K228" s="80"/>
      <c r="L228" s="80"/>
      <c r="M228" s="89" t="str">
        <f>H228</f>
        <v>b0100001110</v>
      </c>
      <c r="N228" s="80"/>
      <c r="O228" s="88" t="str">
        <f>IF(AND(OR(EXACT(F228,"I"),EXACT(F228,"O")),NOT(EXACT(P228,"NA"))),CONCATENATE("c_reg_test_sel_",RIGHT(IF(B228=0,LOOKUP(2,1/($B$2:B228&lt;&gt;0),$B$2:B228),B228),LEN(IF(B228=0,LOOKUP(2,1/($B$2:B228&lt;&gt;0),$B$2:B228),B228))-FIND(".",IF(B228=0,LOOKUP(2,1/($B$2:B228&lt;&gt;0),$B$2:B228),B228))),IF(0,CONCATENATE("&amp; !c_test_reg_pin_disable_",RIGHT(IF(B228=0,LOOKUP(2,1/($B$2:B228&lt;&gt;0),$B$2:B228),B228),LEN(IF(B228=0,LOOKUP(2,1/($B$2:B228&lt;&gt;0),$B$2:B228),B228))-FIND(".",IF(B228=0,LOOKUP(2,1/($B$2:B228&lt;&gt;0),$B$2:B228),B228)))),""),IF(P228,CONCATENATE("_grp_",P228),""),"/","c_pad_",RIGHT(IF(B228=0,LOOKUP(2,1/($B$2:B228&lt;&gt;0),$B$2:B228),B228),LEN(IF(B228=0,LOOKUP(2,1/($B$2:B228&lt;&gt;0),$B$2:B228),B228))-FIND(".",IF(B228=0,LOOKUP(2,1/($B$2:B228&lt;&gt;0),$B$2:B228),B228))),"_",IF(ISNUMBER(SEARCH("[",D228)),LEFT(D228,FIND("[",D228)-1),D228)),"")</f>
        <v>c_reg_test_sel_osc48m_inst/c_pad_osc48m_inst_LI_RC48M_FOTP</v>
      </c>
      <c r="P228" s="82"/>
      <c r="Q228" s="82" t="s">
        <v>648</v>
      </c>
      <c r="R228" s="78" t="s">
        <v>649</v>
      </c>
      <c r="S228" s="78" t="s">
        <v>650</v>
      </c>
      <c r="T228" s="83"/>
    </row>
    <row r="229" spans="1:20">
      <c r="A229" s="72" t="s">
        <v>651</v>
      </c>
      <c r="B229" s="83"/>
      <c r="C229" s="78" t="s">
        <v>61</v>
      </c>
      <c r="D229" s="78" t="s">
        <v>652</v>
      </c>
      <c r="E229" s="78">
        <f t="shared" si="15"/>
        <v>4</v>
      </c>
      <c r="F229" s="98" t="s">
        <v>63</v>
      </c>
      <c r="G229" s="83"/>
      <c r="H229" s="83" t="s">
        <v>194</v>
      </c>
      <c r="I229" s="93" t="s">
        <v>65</v>
      </c>
      <c r="J229" s="80"/>
      <c r="K229" s="80"/>
      <c r="L229" s="80"/>
      <c r="M229" s="89" t="str">
        <f>H229</f>
        <v>b1000</v>
      </c>
      <c r="N229" s="80"/>
      <c r="O229" s="88" t="str">
        <f>IF(AND(OR(EXACT(F229,"I"),EXACT(F229,"O")),NOT(EXACT(P229,"NA"))),CONCATENATE("c_reg_test_sel_",RIGHT(IF(B229=0,LOOKUP(2,1/($B$2:B229&lt;&gt;0),$B$2:B229),B229),LEN(IF(B229=0,LOOKUP(2,1/($B$2:B229&lt;&gt;0),$B$2:B229),B229))-FIND(".",IF(B229=0,LOOKUP(2,1/($B$2:B229&lt;&gt;0),$B$2:B229),B229))),IF(0,CONCATENATE("&amp; !c_test_reg_pin_disable_",RIGHT(IF(B229=0,LOOKUP(2,1/($B$2:B229&lt;&gt;0),$B$2:B229),B229),LEN(IF(B229=0,LOOKUP(2,1/($B$2:B229&lt;&gt;0),$B$2:B229),B229))-FIND(".",IF(B229=0,LOOKUP(2,1/($B$2:B229&lt;&gt;0),$B$2:B229),B229)))),""),IF(P229,CONCATENATE("_grp_",P229),""),"/","c_pad_",RIGHT(IF(B229=0,LOOKUP(2,1/($B$2:B229&lt;&gt;0),$B$2:B229),B229),LEN(IF(B229=0,LOOKUP(2,1/($B$2:B229&lt;&gt;0),$B$2:B229),B229))-FIND(".",IF(B229=0,LOOKUP(2,1/($B$2:B229&lt;&gt;0),$B$2:B229),B229))),"_",IF(ISNUMBER(SEARCH("[",D229)),LEFT(D229,FIND("[",D229)-1),D229)),"")</f>
        <v>c_reg_test_sel_osc48m_inst/c_pad_osc48m_inst_LI_RC48M_TC</v>
      </c>
      <c r="P229" s="82"/>
      <c r="Q229" s="82" t="s">
        <v>653</v>
      </c>
      <c r="R229" s="78" t="s">
        <v>654</v>
      </c>
      <c r="S229" s="78" t="s">
        <v>184</v>
      </c>
      <c r="T229" s="83"/>
    </row>
    <row r="230" spans="1:20">
      <c r="A230" s="72" t="s">
        <v>655</v>
      </c>
      <c r="B230" s="83"/>
      <c r="C230" s="78" t="s">
        <v>61</v>
      </c>
      <c r="D230" s="78" t="s">
        <v>656</v>
      </c>
      <c r="E230" s="78">
        <f t="shared" si="15"/>
        <v>2</v>
      </c>
      <c r="F230" s="98" t="s">
        <v>63</v>
      </c>
      <c r="G230" s="83"/>
      <c r="H230" s="83" t="s">
        <v>189</v>
      </c>
      <c r="I230" s="93" t="s">
        <v>65</v>
      </c>
      <c r="J230" s="80"/>
      <c r="K230" s="80"/>
      <c r="L230" s="80"/>
      <c r="M230" s="89" t="str">
        <f>H230</f>
        <v>b11</v>
      </c>
      <c r="N230" s="80"/>
      <c r="O230" s="88" t="str">
        <f>IF(AND(OR(EXACT(F230,"I"),EXACT(F230,"O")),NOT(EXACT(P230,"NA"))),CONCATENATE("c_reg_test_sel_",RIGHT(IF(B230=0,LOOKUP(2,1/($B$2:B230&lt;&gt;0),$B$2:B230),B230),LEN(IF(B230=0,LOOKUP(2,1/($B$2:B230&lt;&gt;0),$B$2:B230),B230))-FIND(".",IF(B230=0,LOOKUP(2,1/($B$2:B230&lt;&gt;0),$B$2:B230),B230))),IF(0,CONCATENATE("&amp; !c_test_reg_pin_disable_",RIGHT(IF(B230=0,LOOKUP(2,1/($B$2:B230&lt;&gt;0),$B$2:B230),B230),LEN(IF(B230=0,LOOKUP(2,1/($B$2:B230&lt;&gt;0),$B$2:B230),B230))-FIND(".",IF(B230=0,LOOKUP(2,1/($B$2:B230&lt;&gt;0),$B$2:B230),B230)))),""),IF(P230,CONCATENATE("_grp_",P230),""),"/","c_pad_",RIGHT(IF(B230=0,LOOKUP(2,1/($B$2:B230&lt;&gt;0),$B$2:B230),B230),LEN(IF(B230=0,LOOKUP(2,1/($B$2:B230&lt;&gt;0),$B$2:B230),B230))-FIND(".",IF(B230=0,LOOKUP(2,1/($B$2:B230&lt;&gt;0),$B$2:B230),B230))),"_",IF(ISNUMBER(SEARCH("[",D230)),LEFT(D230,FIND("[",D230)-1),D230)),"")</f>
        <v>c_reg_test_sel_osc48m_inst/c_pad_osc48m_inst_LI_RC48M_FSEL</v>
      </c>
      <c r="P230" s="82"/>
      <c r="Q230" s="82" t="s">
        <v>657</v>
      </c>
      <c r="R230" s="78" t="s">
        <v>654</v>
      </c>
      <c r="S230" s="78" t="s">
        <v>309</v>
      </c>
      <c r="T230" s="83"/>
    </row>
    <row r="231" hidden="1" spans="1:20">
      <c r="A231" s="72" t="s">
        <v>658</v>
      </c>
      <c r="B231" s="83"/>
      <c r="C231" s="78" t="s">
        <v>659</v>
      </c>
      <c r="D231" s="78" t="s">
        <v>660</v>
      </c>
      <c r="E231" s="78">
        <f t="shared" si="15"/>
        <v>1</v>
      </c>
      <c r="F231" s="98" t="s">
        <v>140</v>
      </c>
      <c r="G231" s="83"/>
      <c r="H231" s="83"/>
      <c r="I231" s="102"/>
      <c r="M231" s="72"/>
      <c r="P231" s="72"/>
      <c r="Q231" s="123" t="s">
        <v>661</v>
      </c>
      <c r="R231" s="78"/>
      <c r="S231" s="78"/>
      <c r="T231" s="83"/>
    </row>
    <row r="232" hidden="1" spans="1:20">
      <c r="A232" s="72" t="s">
        <v>662</v>
      </c>
      <c r="B232" s="83"/>
      <c r="C232" s="78" t="s">
        <v>153</v>
      </c>
      <c r="D232" s="78" t="s">
        <v>663</v>
      </c>
      <c r="E232" s="78">
        <f t="shared" si="15"/>
        <v>1</v>
      </c>
      <c r="F232" s="98" t="s">
        <v>140</v>
      </c>
      <c r="G232" s="83"/>
      <c r="H232" s="83"/>
      <c r="I232" s="83"/>
      <c r="M232" s="72"/>
      <c r="P232" s="72"/>
      <c r="Q232" s="82" t="s">
        <v>664</v>
      </c>
      <c r="R232" s="78"/>
      <c r="S232" s="78"/>
      <c r="T232" s="83"/>
    </row>
    <row r="233" hidden="1" spans="1:20">
      <c r="A233" s="72" t="s">
        <v>665</v>
      </c>
      <c r="B233" s="83"/>
      <c r="C233" s="78" t="s">
        <v>61</v>
      </c>
      <c r="D233" s="78" t="s">
        <v>666</v>
      </c>
      <c r="E233" s="78">
        <f t="shared" si="15"/>
        <v>1</v>
      </c>
      <c r="F233" s="98" t="s">
        <v>79</v>
      </c>
      <c r="G233" s="83"/>
      <c r="H233" s="83"/>
      <c r="I233" s="83" t="s">
        <v>80</v>
      </c>
      <c r="J233" s="80"/>
      <c r="K233" s="80"/>
      <c r="L233" s="80"/>
      <c r="M233" s="89">
        <f t="shared" ref="M233:M256" si="16">H233</f>
        <v>0</v>
      </c>
      <c r="N233" s="80" t="s">
        <v>240</v>
      </c>
      <c r="O233" s="88" t="str">
        <f>IF(AND(OR(EXACT(F233,"I"),EXACT(F233,"O")),NOT(EXACT(P233,"NA"))),CONCATENATE("c_reg_test_sel_",RIGHT(IF(B233=0,LOOKUP(2,1/($B$2:B233&lt;&gt;0),$B$2:B233),B233),LEN(IF(B233=0,LOOKUP(2,1/($B$2:B233&lt;&gt;0),$B$2:B233),B233))-FIND(".",IF(B233=0,LOOKUP(2,1/($B$2:B233&lt;&gt;0),$B$2:B233),B233))),IF(0,CONCATENATE("&amp; !c_test_reg_pin_disable_",RIGHT(IF(B233=0,LOOKUP(2,1/($B$2:B233&lt;&gt;0),$B$2:B233),B233),LEN(IF(B233=0,LOOKUP(2,1/($B$2:B233&lt;&gt;0),$B$2:B233),B233))-FIND(".",IF(B233=0,LOOKUP(2,1/($B$2:B233&lt;&gt;0),$B$2:B233),B233)))),""),IF(P233,CONCATENATE("_grp_",P233),""),"/","c_pad_",RIGHT(IF(B233=0,LOOKUP(2,1/($B$2:B233&lt;&gt;0),$B$2:B233),B233),LEN(IF(B233=0,LOOKUP(2,1/($B$2:B233&lt;&gt;0),$B$2:B233),B233))-FIND(".",IF(B233=0,LOOKUP(2,1/($B$2:B233&lt;&gt;0),$B$2:B233),B233))),"_",IF(ISNUMBER(SEARCH("[",D233)),LEFT(D233,FIND("[",D233)-1),D233)),"")</f>
        <v>c_reg_test_sel_osc48m_inst/c_pad_osc48m_inst_LO_RC48M_CLKOUT</v>
      </c>
      <c r="P233" s="82"/>
      <c r="Q233" s="83" t="s">
        <v>667</v>
      </c>
      <c r="R233" s="78"/>
      <c r="S233" s="78"/>
      <c r="T233" s="83"/>
    </row>
    <row r="234" spans="1:20">
      <c r="A234" s="72" t="s">
        <v>668</v>
      </c>
      <c r="B234" s="83" t="s">
        <v>668</v>
      </c>
      <c r="C234" s="78" t="s">
        <v>61</v>
      </c>
      <c r="D234" s="78" t="s">
        <v>669</v>
      </c>
      <c r="E234" s="78">
        <f t="shared" si="15"/>
        <v>4</v>
      </c>
      <c r="F234" s="98" t="s">
        <v>63</v>
      </c>
      <c r="G234" s="83"/>
      <c r="H234" s="83" t="s">
        <v>94</v>
      </c>
      <c r="I234" s="93" t="s">
        <v>65</v>
      </c>
      <c r="J234" s="80"/>
      <c r="K234" s="80"/>
      <c r="L234" s="80"/>
      <c r="M234" s="89" t="str">
        <f t="shared" si="16"/>
        <v>b0000</v>
      </c>
      <c r="N234" s="80"/>
      <c r="O234" s="88" t="str">
        <f>IF(AND(OR(EXACT(F234,"I"),EXACT(F234,"O")),NOT(EXACT(P234,"NA"))),CONCATENATE("c_reg_test_sel_",RIGHT(IF(B234=0,LOOKUP(2,1/($B$2:B234&lt;&gt;0),$B$2:B234),B234),LEN(IF(B234=0,LOOKUP(2,1/($B$2:B234&lt;&gt;0),$B$2:B234),B234))-FIND(".",IF(B234=0,LOOKUP(2,1/($B$2:B234&lt;&gt;0),$B$2:B234),B234))),IF(0,CONCATENATE("&amp; !c_test_reg_pin_disable_",RIGHT(IF(B234=0,LOOKUP(2,1/($B$2:B234&lt;&gt;0),$B$2:B234),B234),LEN(IF(B234=0,LOOKUP(2,1/($B$2:B234&lt;&gt;0),$B$2:B234),B234))-FIND(".",IF(B234=0,LOOKUP(2,1/($B$2:B234&lt;&gt;0),$B$2:B234),B234)))),""),IF(P234,CONCATENATE("_grp_",P234),""),"/","c_pad_",RIGHT(IF(B234=0,LOOKUP(2,1/($B$2:B234&lt;&gt;0),$B$2:B234),B234),LEN(IF(B234=0,LOOKUP(2,1/($B$2:B234&lt;&gt;0),$B$2:B234),B234))-FIND(".",IF(B234=0,LOOKUP(2,1/($B$2:B234&lt;&gt;0),$B$2:B234),B234))),"_",IF(ISNUMBER(SEARCH("[",D234)),LEFT(D234,FIND("[",D234)-1),D234)),"")</f>
        <v/>
      </c>
      <c r="P234" s="82" t="s">
        <v>260</v>
      </c>
      <c r="Q234" s="83"/>
      <c r="R234" s="78" t="s">
        <v>670</v>
      </c>
      <c r="S234" s="78" t="s">
        <v>184</v>
      </c>
      <c r="T234" s="83"/>
    </row>
    <row r="235" ht="47.25" spans="1:20">
      <c r="A235" s="72" t="s">
        <v>668</v>
      </c>
      <c r="B235" s="83"/>
      <c r="C235" s="78" t="s">
        <v>61</v>
      </c>
      <c r="D235" s="78" t="s">
        <v>671</v>
      </c>
      <c r="E235" s="78">
        <f t="shared" si="15"/>
        <v>32</v>
      </c>
      <c r="F235" s="98" t="s">
        <v>63</v>
      </c>
      <c r="G235" s="83"/>
      <c r="H235" s="83" t="s">
        <v>672</v>
      </c>
      <c r="I235" s="93" t="s">
        <v>65</v>
      </c>
      <c r="J235" s="80"/>
      <c r="K235" s="80"/>
      <c r="L235" s="80"/>
      <c r="M235" s="89" t="str">
        <f t="shared" si="16"/>
        <v>b00000000000000000010001000000001</v>
      </c>
      <c r="N235" s="80"/>
      <c r="O235" s="88" t="str">
        <f>IF(AND(OR(EXACT(F235,"I"),EXACT(F235,"O")),NOT(EXACT(P235,"NA"))),CONCATENATE("c_reg_test_sel_",RIGHT(IF(B235=0,LOOKUP(2,1/($B$2:B235&lt;&gt;0),$B$2:B235),B235),LEN(IF(B235=0,LOOKUP(2,1/($B$2:B235&lt;&gt;0),$B$2:B235),B235))-FIND(".",IF(B235=0,LOOKUP(2,1/($B$2:B235&lt;&gt;0),$B$2:B235),B235))),IF(0,CONCATENATE("&amp; !c_test_reg_pin_disable_",RIGHT(IF(B235=0,LOOKUP(2,1/($B$2:B235&lt;&gt;0),$B$2:B235),B235),LEN(IF(B235=0,LOOKUP(2,1/($B$2:B235&lt;&gt;0),$B$2:B235),B235))-FIND(".",IF(B235=0,LOOKUP(2,1/($B$2:B235&lt;&gt;0),$B$2:B235),B235)))),""),IF(P235,CONCATENATE("_grp_",P235),""),"/","c_pad_",RIGHT(IF(B235=0,LOOKUP(2,1/($B$2:B235&lt;&gt;0),$B$2:B235),B235),LEN(IF(B235=0,LOOKUP(2,1/($B$2:B235&lt;&gt;0),$B$2:B235),B235))-FIND(".",IF(B235=0,LOOKUP(2,1/($B$2:B235&lt;&gt;0),$B$2:B235),B235))),"_",IF(ISNUMBER(SEARCH("[",D235)),LEFT(D235,FIND("[",D235)-1),D235)),"")</f>
        <v/>
      </c>
      <c r="P235" s="82" t="s">
        <v>260</v>
      </c>
      <c r="Q235" s="83"/>
      <c r="R235" s="78" t="s">
        <v>673</v>
      </c>
      <c r="S235" s="78" t="s">
        <v>674</v>
      </c>
      <c r="T235" s="83"/>
    </row>
    <row r="236" spans="1:20">
      <c r="A236" s="72" t="s">
        <v>668</v>
      </c>
      <c r="B236" s="83"/>
      <c r="C236" s="78" t="s">
        <v>61</v>
      </c>
      <c r="D236" s="78" t="s">
        <v>675</v>
      </c>
      <c r="E236" s="78">
        <f t="shared" si="15"/>
        <v>8</v>
      </c>
      <c r="F236" s="98" t="s">
        <v>63</v>
      </c>
      <c r="G236" s="83"/>
      <c r="H236" s="83" t="s">
        <v>676</v>
      </c>
      <c r="I236" s="93" t="s">
        <v>65</v>
      </c>
      <c r="J236" s="80"/>
      <c r="K236" s="80"/>
      <c r="L236" s="80"/>
      <c r="M236" s="89" t="str">
        <f t="shared" si="16"/>
        <v>b00000000</v>
      </c>
      <c r="N236" s="80"/>
      <c r="O236" s="88" t="str">
        <f>IF(AND(OR(EXACT(F236,"I"),EXACT(F236,"O")),NOT(EXACT(P236,"NA"))),CONCATENATE("c_reg_test_sel_",RIGHT(IF(B236=0,LOOKUP(2,1/($B$2:B236&lt;&gt;0),$B$2:B236),B236),LEN(IF(B236=0,LOOKUP(2,1/($B$2:B236&lt;&gt;0),$B$2:B236),B236))-FIND(".",IF(B236=0,LOOKUP(2,1/($B$2:B236&lt;&gt;0),$B$2:B236),B236))),IF(0,CONCATENATE("&amp; !c_test_reg_pin_disable_",RIGHT(IF(B236=0,LOOKUP(2,1/($B$2:B236&lt;&gt;0),$B$2:B236),B236),LEN(IF(B236=0,LOOKUP(2,1/($B$2:B236&lt;&gt;0),$B$2:B236),B236))-FIND(".",IF(B236=0,LOOKUP(2,1/($B$2:B236&lt;&gt;0),$B$2:B236),B236)))),""),IF(P236,CONCATENATE("_grp_",P236),""),"/","c_pad_",RIGHT(IF(B236=0,LOOKUP(2,1/($B$2:B236&lt;&gt;0),$B$2:B236),B236),LEN(IF(B236=0,LOOKUP(2,1/($B$2:B236&lt;&gt;0),$B$2:B236),B236))-FIND(".",IF(B236=0,LOOKUP(2,1/($B$2:B236&lt;&gt;0),$B$2:B236),B236))),"_",IF(ISNUMBER(SEARCH("[",D236)),LEFT(D236,FIND("[",D236)-1),D236)),"")</f>
        <v/>
      </c>
      <c r="P236" s="82" t="s">
        <v>260</v>
      </c>
      <c r="Q236" s="83"/>
      <c r="R236" s="78" t="s">
        <v>677</v>
      </c>
      <c r="S236" s="78" t="s">
        <v>336</v>
      </c>
      <c r="T236" s="83"/>
    </row>
    <row r="237" spans="1:20">
      <c r="A237" s="72" t="s">
        <v>668</v>
      </c>
      <c r="B237" s="83"/>
      <c r="C237" s="78" t="s">
        <v>61</v>
      </c>
      <c r="D237" s="78" t="s">
        <v>678</v>
      </c>
      <c r="E237" s="78">
        <f t="shared" si="15"/>
        <v>5</v>
      </c>
      <c r="F237" s="98" t="s">
        <v>63</v>
      </c>
      <c r="G237" s="83"/>
      <c r="H237" s="83" t="s">
        <v>428</v>
      </c>
      <c r="I237" s="93" t="s">
        <v>65</v>
      </c>
      <c r="J237" s="80"/>
      <c r="K237" s="80"/>
      <c r="L237" s="80"/>
      <c r="M237" s="89" t="str">
        <f t="shared" si="16"/>
        <v>b00000</v>
      </c>
      <c r="N237" s="80"/>
      <c r="O237" s="88"/>
      <c r="P237" s="82" t="s">
        <v>260</v>
      </c>
      <c r="Q237" s="83"/>
      <c r="R237" s="78" t="s">
        <v>679</v>
      </c>
      <c r="S237" s="78" t="s">
        <v>219</v>
      </c>
      <c r="T237" s="83"/>
    </row>
    <row r="238" spans="1:20">
      <c r="A238" s="72" t="s">
        <v>680</v>
      </c>
      <c r="B238" s="83" t="s">
        <v>680</v>
      </c>
      <c r="C238" s="78" t="s">
        <v>61</v>
      </c>
      <c r="D238" s="78" t="s">
        <v>681</v>
      </c>
      <c r="E238" s="78">
        <f t="shared" si="15"/>
        <v>36</v>
      </c>
      <c r="F238" s="98" t="s">
        <v>63</v>
      </c>
      <c r="G238" s="83"/>
      <c r="H238" s="83" t="s">
        <v>682</v>
      </c>
      <c r="I238" s="83" t="s">
        <v>80</v>
      </c>
      <c r="J238" s="80"/>
      <c r="K238" s="80"/>
      <c r="L238" s="80"/>
      <c r="M238" s="89" t="str">
        <f t="shared" si="16"/>
        <v>b000000000000000000000000000000000000</v>
      </c>
      <c r="N238" s="80" t="s">
        <v>240</v>
      </c>
      <c r="O238" s="88" t="str">
        <f>IF(AND(OR(EXACT(F238,"I"),EXACT(F238,"O")),NOT(EXACT(P238,"NA"))),CONCATENATE("c_reg_test_sel_",RIGHT(IF(B238=0,LOOKUP(2,1/($B$2:B238&lt;&gt;0),$B$2:B238),B238),LEN(IF(B238=0,LOOKUP(2,1/($B$2:B238&lt;&gt;0),$B$2:B238),B238))-FIND(".",IF(B238=0,LOOKUP(2,1/($B$2:B238&lt;&gt;0),$B$2:B238),B238))),IF(0,CONCATENATE("&amp; !c_test_reg_pin_disable_",RIGHT(IF(B238=0,LOOKUP(2,1/($B$2:B238&lt;&gt;0),$B$2:B238),B238),LEN(IF(B238=0,LOOKUP(2,1/($B$2:B238&lt;&gt;0),$B$2:B238),B238))-FIND(".",IF(B238=0,LOOKUP(2,1/($B$2:B238&lt;&gt;0),$B$2:B238),B238)))),""),IF(P238,CONCATENATE("_grp_",P238),""),"/","c_pad_",RIGHT(IF(B238=0,LOOKUP(2,1/($B$2:B238&lt;&gt;0),$B$2:B238),B238),LEN(IF(B238=0,LOOKUP(2,1/($B$2:B238&lt;&gt;0),$B$2:B238),B238))-FIND(".",IF(B238=0,LOOKUP(2,1/($B$2:B238&lt;&gt;0),$B$2:B238),B238))),"_",IF(ISNUMBER(SEARCH("[",D238)),LEFT(D238,FIND("[",D238)-1),D238)),"")</f>
        <v/>
      </c>
      <c r="P238" s="82" t="s">
        <v>260</v>
      </c>
      <c r="Q238" s="83"/>
      <c r="R238" s="78"/>
      <c r="S238" s="78"/>
      <c r="T238" s="83"/>
    </row>
    <row r="239" spans="1:20">
      <c r="A239" s="72" t="s">
        <v>680</v>
      </c>
      <c r="B239" s="83"/>
      <c r="C239" s="78" t="s">
        <v>61</v>
      </c>
      <c r="D239" s="78" t="s">
        <v>683</v>
      </c>
      <c r="E239" s="78">
        <f t="shared" si="15"/>
        <v>36</v>
      </c>
      <c r="F239" s="98" t="s">
        <v>63</v>
      </c>
      <c r="G239" s="83"/>
      <c r="H239" s="83" t="s">
        <v>682</v>
      </c>
      <c r="I239" s="83" t="s">
        <v>80</v>
      </c>
      <c r="J239" s="80"/>
      <c r="K239" s="80"/>
      <c r="L239" s="80"/>
      <c r="M239" s="89" t="str">
        <f t="shared" si="16"/>
        <v>b000000000000000000000000000000000000</v>
      </c>
      <c r="N239" s="80" t="s">
        <v>240</v>
      </c>
      <c r="O239" s="88" t="str">
        <f>IF(AND(OR(EXACT(F239,"I"),EXACT(F239,"O")),NOT(EXACT(P239,"NA"))),CONCATENATE("c_reg_test_sel_",RIGHT(IF(B239=0,LOOKUP(2,1/($B$2:B239&lt;&gt;0),$B$2:B239),B239),LEN(IF(B239=0,LOOKUP(2,1/($B$2:B239&lt;&gt;0),$B$2:B239),B239))-FIND(".",IF(B239=0,LOOKUP(2,1/($B$2:B239&lt;&gt;0),$B$2:B239),B239))),IF(0,CONCATENATE("&amp; !c_test_reg_pin_disable_",RIGHT(IF(B239=0,LOOKUP(2,1/($B$2:B239&lt;&gt;0),$B$2:B239),B239),LEN(IF(B239=0,LOOKUP(2,1/($B$2:B239&lt;&gt;0),$B$2:B239),B239))-FIND(".",IF(B239=0,LOOKUP(2,1/($B$2:B239&lt;&gt;0),$B$2:B239),B239)))),""),IF(P239,CONCATENATE("_grp_",P239),""),"/","c_pad_",RIGHT(IF(B239=0,LOOKUP(2,1/($B$2:B239&lt;&gt;0),$B$2:B239),B239),LEN(IF(B239=0,LOOKUP(2,1/($B$2:B239&lt;&gt;0),$B$2:B239),B239))-FIND(".",IF(B239=0,LOOKUP(2,1/($B$2:B239&lt;&gt;0),$B$2:B239),B239))),"_",IF(ISNUMBER(SEARCH("[",D239)),LEFT(D239,FIND("[",D239)-1),D239)),"")</f>
        <v/>
      </c>
      <c r="P239" s="82" t="s">
        <v>260</v>
      </c>
      <c r="Q239" s="83"/>
      <c r="R239" s="78"/>
      <c r="S239" s="78"/>
      <c r="T239" s="83"/>
    </row>
    <row r="240" ht="63" spans="1:20">
      <c r="A240" s="72" t="s">
        <v>680</v>
      </c>
      <c r="B240" s="83"/>
      <c r="C240" s="78" t="s">
        <v>61</v>
      </c>
      <c r="D240" s="78" t="s">
        <v>684</v>
      </c>
      <c r="E240" s="78">
        <f t="shared" si="15"/>
        <v>36</v>
      </c>
      <c r="F240" s="98" t="s">
        <v>63</v>
      </c>
      <c r="G240" s="83"/>
      <c r="H240" s="83" t="s">
        <v>685</v>
      </c>
      <c r="I240" s="83" t="s">
        <v>80</v>
      </c>
      <c r="J240" s="80"/>
      <c r="K240" s="80"/>
      <c r="L240" s="80"/>
      <c r="M240" s="89" t="str">
        <f t="shared" si="16"/>
        <v>b111111111111111111111111111111111111</v>
      </c>
      <c r="N240" s="80" t="s">
        <v>240</v>
      </c>
      <c r="O240" s="88" t="str">
        <f>IF(AND(OR(EXACT(F240,"I"),EXACT(F240,"O")),NOT(EXACT(P240,"NA"))),CONCATENATE("c_reg_test_sel_",RIGHT(IF(B240=0,LOOKUP(2,1/($B$2:B240&lt;&gt;0),$B$2:B240),B240),LEN(IF(B240=0,LOOKUP(2,1/($B$2:B240&lt;&gt;0),$B$2:B240),B240))-FIND(".",IF(B240=0,LOOKUP(2,1/($B$2:B240&lt;&gt;0),$B$2:B240),B240))),IF(0,CONCATENATE("&amp; !c_test_reg_pin_disable_",RIGHT(IF(B240=0,LOOKUP(2,1/($B$2:B240&lt;&gt;0),$B$2:B240),B240),LEN(IF(B240=0,LOOKUP(2,1/($B$2:B240&lt;&gt;0),$B$2:B240),B240))-FIND(".",IF(B240=0,LOOKUP(2,1/($B$2:B240&lt;&gt;0),$B$2:B240),B240)))),""),IF(P240,CONCATENATE("_grp_",P240),""),"/","c_pad_",RIGHT(IF(B240=0,LOOKUP(2,1/($B$2:B240&lt;&gt;0),$B$2:B240),B240),LEN(IF(B240=0,LOOKUP(2,1/($B$2:B240&lt;&gt;0),$B$2:B240),B240))-FIND(".",IF(B240=0,LOOKUP(2,1/($B$2:B240&lt;&gt;0),$B$2:B240),B240))),"_",IF(ISNUMBER(SEARCH("[",D240)),LEFT(D240,FIND("[",D240)-1),D240)),"")</f>
        <v/>
      </c>
      <c r="P240" s="82" t="s">
        <v>260</v>
      </c>
      <c r="Q240" s="83" t="s">
        <v>686</v>
      </c>
      <c r="R240" s="78"/>
      <c r="S240" s="78"/>
      <c r="T240" s="83"/>
    </row>
    <row r="241" ht="63" spans="1:20">
      <c r="A241" s="72" t="s">
        <v>680</v>
      </c>
      <c r="B241" s="83"/>
      <c r="C241" s="78" t="s">
        <v>61</v>
      </c>
      <c r="D241" s="78" t="s">
        <v>687</v>
      </c>
      <c r="E241" s="78">
        <f t="shared" si="15"/>
        <v>36</v>
      </c>
      <c r="F241" s="98" t="s">
        <v>63</v>
      </c>
      <c r="G241" s="83"/>
      <c r="H241" s="83" t="s">
        <v>682</v>
      </c>
      <c r="I241" s="83" t="s">
        <v>80</v>
      </c>
      <c r="J241" s="80"/>
      <c r="K241" s="80"/>
      <c r="L241" s="80"/>
      <c r="M241" s="89" t="str">
        <f t="shared" si="16"/>
        <v>b000000000000000000000000000000000000</v>
      </c>
      <c r="N241" s="80" t="s">
        <v>240</v>
      </c>
      <c r="O241" s="88" t="str">
        <f>IF(AND(OR(EXACT(F241,"I"),EXACT(F241,"O")),NOT(EXACT(P241,"NA"))),CONCATENATE("c_reg_test_sel_",RIGHT(IF(B241=0,LOOKUP(2,1/($B$2:B241&lt;&gt;0),$B$2:B241),B241),LEN(IF(B241=0,LOOKUP(2,1/($B$2:B241&lt;&gt;0),$B$2:B241),B241))-FIND(".",IF(B241=0,LOOKUP(2,1/($B$2:B241&lt;&gt;0),$B$2:B241),B241))),IF(0,CONCATENATE("&amp; !c_test_reg_pin_disable_",RIGHT(IF(B241=0,LOOKUP(2,1/($B$2:B241&lt;&gt;0),$B$2:B241),B241),LEN(IF(B241=0,LOOKUP(2,1/($B$2:B241&lt;&gt;0),$B$2:B241),B241))-FIND(".",IF(B241=0,LOOKUP(2,1/($B$2:B241&lt;&gt;0),$B$2:B241),B241)))),""),IF(P241,CONCATENATE("_grp_",P241),""),"/","c_pad_",RIGHT(IF(B241=0,LOOKUP(2,1/($B$2:B241&lt;&gt;0),$B$2:B241),B241),LEN(IF(B241=0,LOOKUP(2,1/($B$2:B241&lt;&gt;0),$B$2:B241),B241))-FIND(".",IF(B241=0,LOOKUP(2,1/($B$2:B241&lt;&gt;0),$B$2:B241),B241))),"_",IF(ISNUMBER(SEARCH("[",D241)),LEFT(D241,FIND("[",D241)-1),D241)),"")</f>
        <v/>
      </c>
      <c r="P241" s="82" t="s">
        <v>260</v>
      </c>
      <c r="Q241" s="83" t="s">
        <v>688</v>
      </c>
      <c r="R241" s="78"/>
      <c r="S241" s="78"/>
      <c r="T241" s="83"/>
    </row>
    <row r="242" ht="47.25" spans="1:20">
      <c r="A242" s="72" t="s">
        <v>680</v>
      </c>
      <c r="B242" s="83"/>
      <c r="C242" s="78" t="s">
        <v>61</v>
      </c>
      <c r="D242" s="78" t="s">
        <v>689</v>
      </c>
      <c r="E242" s="78">
        <f t="shared" si="15"/>
        <v>36</v>
      </c>
      <c r="F242" s="98" t="s">
        <v>63</v>
      </c>
      <c r="G242" s="83"/>
      <c r="H242" s="83" t="s">
        <v>690</v>
      </c>
      <c r="I242" s="83" t="s">
        <v>80</v>
      </c>
      <c r="J242" s="80"/>
      <c r="K242" s="80"/>
      <c r="L242" s="80"/>
      <c r="M242" s="89" t="str">
        <f t="shared" si="16"/>
        <v>b000000000000000000100100000000000000</v>
      </c>
      <c r="N242" s="80" t="s">
        <v>240</v>
      </c>
      <c r="O242" s="88" t="str">
        <f>IF(AND(OR(EXACT(F242,"I"),EXACT(F242,"O")),NOT(EXACT(P242,"NA"))),CONCATENATE("c_reg_test_sel_",RIGHT(IF(B242=0,LOOKUP(2,1/($B$2:B242&lt;&gt;0),$B$2:B242),B242),LEN(IF(B242=0,LOOKUP(2,1/($B$2:B242&lt;&gt;0),$B$2:B242),B242))-FIND(".",IF(B242=0,LOOKUP(2,1/($B$2:B242&lt;&gt;0),$B$2:B242),B242))),IF(0,CONCATENATE("&amp; !c_test_reg_pin_disable_",RIGHT(IF(B242=0,LOOKUP(2,1/($B$2:B242&lt;&gt;0),$B$2:B242),B242),LEN(IF(B242=0,LOOKUP(2,1/($B$2:B242&lt;&gt;0),$B$2:B242),B242))-FIND(".",IF(B242=0,LOOKUP(2,1/($B$2:B242&lt;&gt;0),$B$2:B242),B242)))),""),IF(P242,CONCATENATE("_grp_",P242),""),"/","c_pad_",RIGHT(IF(B242=0,LOOKUP(2,1/($B$2:B242&lt;&gt;0),$B$2:B242),B242),LEN(IF(B242=0,LOOKUP(2,1/($B$2:B242&lt;&gt;0),$B$2:B242),B242))-FIND(".",IF(B242=0,LOOKUP(2,1/($B$2:B242&lt;&gt;0),$B$2:B242),B242))),"_",IF(ISNUMBER(SEARCH("[",D242)),LEFT(D242,FIND("[",D242)-1),D242)),"")</f>
        <v/>
      </c>
      <c r="P242" s="82" t="s">
        <v>260</v>
      </c>
      <c r="Q242" s="83" t="s">
        <v>691</v>
      </c>
      <c r="R242" s="78"/>
      <c r="S242" s="78"/>
      <c r="T242" s="83"/>
    </row>
    <row r="243" spans="1:20">
      <c r="A243" s="72" t="s">
        <v>680</v>
      </c>
      <c r="B243" s="83"/>
      <c r="C243" s="78" t="s">
        <v>61</v>
      </c>
      <c r="D243" s="78" t="s">
        <v>692</v>
      </c>
      <c r="E243" s="78">
        <f t="shared" si="15"/>
        <v>36</v>
      </c>
      <c r="F243" s="98" t="s">
        <v>63</v>
      </c>
      <c r="G243" s="83"/>
      <c r="H243" s="83" t="s">
        <v>693</v>
      </c>
      <c r="I243" s="83" t="s">
        <v>80</v>
      </c>
      <c r="J243" s="80"/>
      <c r="K243" s="80"/>
      <c r="L243" s="80"/>
      <c r="M243" s="89" t="str">
        <f t="shared" si="16"/>
        <v>b000000000000000000000100000000000000</v>
      </c>
      <c r="N243" s="80" t="s">
        <v>240</v>
      </c>
      <c r="O243" s="88" t="str">
        <f>IF(AND(OR(EXACT(F243,"I"),EXACT(F243,"O")),NOT(EXACT(P243,"NA"))),CONCATENATE("c_reg_test_sel_",RIGHT(IF(B243=0,LOOKUP(2,1/($B$2:B243&lt;&gt;0),$B$2:B243),B243),LEN(IF(B243=0,LOOKUP(2,1/($B$2:B243&lt;&gt;0),$B$2:B243),B243))-FIND(".",IF(B243=0,LOOKUP(2,1/($B$2:B243&lt;&gt;0),$B$2:B243),B243))),IF(0,CONCATENATE("&amp; !c_test_reg_pin_disable_",RIGHT(IF(B243=0,LOOKUP(2,1/($B$2:B243&lt;&gt;0),$B$2:B243),B243),LEN(IF(B243=0,LOOKUP(2,1/($B$2:B243&lt;&gt;0),$B$2:B243),B243))-FIND(".",IF(B243=0,LOOKUP(2,1/($B$2:B243&lt;&gt;0),$B$2:B243),B243)))),""),IF(P243,CONCATENATE("_grp_",P243),""),"/","c_pad_",RIGHT(IF(B243=0,LOOKUP(2,1/($B$2:B243&lt;&gt;0),$B$2:B243),B243),LEN(IF(B243=0,LOOKUP(2,1/($B$2:B243&lt;&gt;0),$B$2:B243),B243))-FIND(".",IF(B243=0,LOOKUP(2,1/($B$2:B243&lt;&gt;0),$B$2:B243),B243))),"_",IF(ISNUMBER(SEARCH("[",D243)),LEFT(D243,FIND("[",D243)-1),D243)),"")</f>
        <v/>
      </c>
      <c r="P243" s="82" t="s">
        <v>260</v>
      </c>
      <c r="Q243" s="83" t="s">
        <v>694</v>
      </c>
      <c r="R243" s="78"/>
      <c r="S243" s="78"/>
      <c r="T243" s="83"/>
    </row>
    <row r="244" ht="31.5" spans="1:20">
      <c r="A244" s="72" t="s">
        <v>680</v>
      </c>
      <c r="B244" s="83"/>
      <c r="C244" s="78" t="s">
        <v>61</v>
      </c>
      <c r="D244" s="78" t="s">
        <v>695</v>
      </c>
      <c r="E244" s="78">
        <f t="shared" si="15"/>
        <v>72</v>
      </c>
      <c r="F244" s="98" t="s">
        <v>63</v>
      </c>
      <c r="G244" s="83"/>
      <c r="H244" s="83" t="s">
        <v>696</v>
      </c>
      <c r="I244" s="83" t="s">
        <v>80</v>
      </c>
      <c r="J244" s="80"/>
      <c r="K244" s="80"/>
      <c r="L244" s="80"/>
      <c r="M244" s="89" t="str">
        <f t="shared" si="16"/>
        <v>b010101010101010101010101010101010101010101010101010101010101010101010101</v>
      </c>
      <c r="N244" s="80" t="s">
        <v>240</v>
      </c>
      <c r="O244" s="88" t="str">
        <f>IF(AND(OR(EXACT(F244,"I"),EXACT(F244,"O")),NOT(EXACT(P244,"NA"))),CONCATENATE("c_reg_test_sel_",RIGHT(IF(B244=0,LOOKUP(2,1/($B$2:B244&lt;&gt;0),$B$2:B244),B244),LEN(IF(B244=0,LOOKUP(2,1/($B$2:B244&lt;&gt;0),$B$2:B244),B244))-FIND(".",IF(B244=0,LOOKUP(2,1/($B$2:B244&lt;&gt;0),$B$2:B244),B244))),IF(0,CONCATENATE("&amp; !c_test_reg_pin_disable_",RIGHT(IF(B244=0,LOOKUP(2,1/($B$2:B244&lt;&gt;0),$B$2:B244),B244),LEN(IF(B244=0,LOOKUP(2,1/($B$2:B244&lt;&gt;0),$B$2:B244),B244))-FIND(".",IF(B244=0,LOOKUP(2,1/($B$2:B244&lt;&gt;0),$B$2:B244),B244)))),""),IF(P244,CONCATENATE("_grp_",P244),""),"/","c_pad_",RIGHT(IF(B244=0,LOOKUP(2,1/($B$2:B244&lt;&gt;0),$B$2:B244),B244),LEN(IF(B244=0,LOOKUP(2,1/($B$2:B244&lt;&gt;0),$B$2:B244),B244))-FIND(".",IF(B244=0,LOOKUP(2,1/($B$2:B244&lt;&gt;0),$B$2:B244),B244))),"_",IF(ISNUMBER(SEARCH("[",D244)),LEFT(D244,FIND("[",D244)-1),D244)),"")</f>
        <v/>
      </c>
      <c r="P244" s="82" t="s">
        <v>260</v>
      </c>
      <c r="Q244" s="83" t="s">
        <v>697</v>
      </c>
      <c r="R244" s="78"/>
      <c r="S244" s="78"/>
      <c r="T244" s="83"/>
    </row>
    <row r="245" hidden="1" spans="1:20">
      <c r="A245" s="72" t="s">
        <v>680</v>
      </c>
      <c r="B245" s="83"/>
      <c r="C245" s="78" t="s">
        <v>61</v>
      </c>
      <c r="D245" s="78" t="s">
        <v>698</v>
      </c>
      <c r="E245" s="78">
        <f t="shared" si="15"/>
        <v>36</v>
      </c>
      <c r="F245" s="98" t="s">
        <v>79</v>
      </c>
      <c r="G245" s="83"/>
      <c r="H245" s="83"/>
      <c r="I245" s="83" t="s">
        <v>80</v>
      </c>
      <c r="J245" s="80"/>
      <c r="K245" s="80"/>
      <c r="L245" s="80"/>
      <c r="M245" s="89">
        <f t="shared" si="16"/>
        <v>0</v>
      </c>
      <c r="N245" s="80"/>
      <c r="O245" s="88" t="str">
        <f>IF(AND(OR(EXACT(F245,"I"),EXACT(F245,"O")),NOT(EXACT(P245,"NA"))),CONCATENATE("c_reg_test_sel_",RIGHT(IF(B245=0,LOOKUP(2,1/($B$2:B245&lt;&gt;0),$B$2:B245),B245),LEN(IF(B245=0,LOOKUP(2,1/($B$2:B245&lt;&gt;0),$B$2:B245),B245))-FIND(".",IF(B245=0,LOOKUP(2,1/($B$2:B245&lt;&gt;0),$B$2:B245),B245))),IF(0,CONCATENATE("&amp; !c_test_reg_pin_disable_",RIGHT(IF(B245=0,LOOKUP(2,1/($B$2:B245&lt;&gt;0),$B$2:B245),B245),LEN(IF(B245=0,LOOKUP(2,1/($B$2:B245&lt;&gt;0),$B$2:B245),B245))-FIND(".",IF(B245=0,LOOKUP(2,1/($B$2:B245&lt;&gt;0),$B$2:B245),B245)))),""),IF(P245,CONCATENATE("_grp_",P245),""),"/","c_pad_",RIGHT(IF(B245=0,LOOKUP(2,1/($B$2:B245&lt;&gt;0),$B$2:B245),B245),LEN(IF(B245=0,LOOKUP(2,1/($B$2:B245&lt;&gt;0),$B$2:B245),B245))-FIND(".",IF(B245=0,LOOKUP(2,1/($B$2:B245&lt;&gt;0),$B$2:B245),B245))),"_",IF(ISNUMBER(SEARCH("[",D245)),LEFT(D245,FIND("[",D245)-1),D245)),"")</f>
        <v/>
      </c>
      <c r="P245" s="82" t="s">
        <v>260</v>
      </c>
      <c r="Q245" s="82" t="s">
        <v>699</v>
      </c>
      <c r="R245" s="78"/>
      <c r="S245" s="78"/>
      <c r="T245" s="83"/>
    </row>
    <row r="246" ht="409.5" spans="1:20">
      <c r="A246" s="72" t="s">
        <v>680</v>
      </c>
      <c r="B246" s="83"/>
      <c r="C246" s="78" t="s">
        <v>61</v>
      </c>
      <c r="D246" s="78" t="s">
        <v>700</v>
      </c>
      <c r="E246" s="78">
        <f t="shared" si="15"/>
        <v>8</v>
      </c>
      <c r="F246" s="98" t="s">
        <v>63</v>
      </c>
      <c r="G246" s="83"/>
      <c r="H246" s="83" t="s">
        <v>701</v>
      </c>
      <c r="I246" s="83" t="s">
        <v>65</v>
      </c>
      <c r="J246" s="80"/>
      <c r="K246" s="80"/>
      <c r="L246" s="80"/>
      <c r="M246" s="89" t="str">
        <f t="shared" si="16"/>
        <v>b00110100</v>
      </c>
      <c r="N246" s="80"/>
      <c r="O246" s="88" t="str">
        <f>IF(AND(OR(EXACT(F246,"I"),EXACT(F246,"O")),NOT(EXACT(P246,"NA"))),CONCATENATE("c_reg_test_sel_",RIGHT(IF(B246=0,LOOKUP(2,1/($B$2:B246&lt;&gt;0),$B$2:B246),B246),LEN(IF(B246=0,LOOKUP(2,1/($B$2:B246&lt;&gt;0),$B$2:B246),B246))-FIND(".",IF(B246=0,LOOKUP(2,1/($B$2:B246&lt;&gt;0),$B$2:B246),B246))),IF(0,CONCATENATE("&amp; !c_test_reg_pin_disable_",RIGHT(IF(B246=0,LOOKUP(2,1/($B$2:B246&lt;&gt;0),$B$2:B246),B246),LEN(IF(B246=0,LOOKUP(2,1/($B$2:B246&lt;&gt;0),$B$2:B246),B246))-FIND(".",IF(B246=0,LOOKUP(2,1/($B$2:B246&lt;&gt;0),$B$2:B246),B246)))),""),IF(P246,CONCATENATE("_grp_",P246),""),"/","c_pad_",RIGHT(IF(B246=0,LOOKUP(2,1/($B$2:B246&lt;&gt;0),$B$2:B246),B246),LEN(IF(B246=0,LOOKUP(2,1/($B$2:B246&lt;&gt;0),$B$2:B246),B246))-FIND(".",IF(B246=0,LOOKUP(2,1/($B$2:B246&lt;&gt;0),$B$2:B246),B246))),"_",IF(ISNUMBER(SEARCH("[",D246)),LEFT(D246,FIND("[",D246)-1),D246)),"")</f>
        <v>c_reg_test_sel_pad_ring_inst/c_pad_pad_ring_inst_REG_XTAL32K</v>
      </c>
      <c r="P246" s="82"/>
      <c r="Q246" s="83" t="s">
        <v>702</v>
      </c>
      <c r="R246" s="78"/>
      <c r="S246" s="78"/>
      <c r="T246" s="83"/>
    </row>
    <row r="247" ht="315" spans="1:20">
      <c r="A247" s="72" t="s">
        <v>680</v>
      </c>
      <c r="B247" s="83"/>
      <c r="C247" s="78" t="s">
        <v>61</v>
      </c>
      <c r="D247" s="78" t="s">
        <v>703</v>
      </c>
      <c r="E247" s="78">
        <f t="shared" si="15"/>
        <v>8</v>
      </c>
      <c r="F247" s="98" t="s">
        <v>63</v>
      </c>
      <c r="G247" s="83"/>
      <c r="H247" s="83" t="s">
        <v>704</v>
      </c>
      <c r="I247" s="83" t="s">
        <v>65</v>
      </c>
      <c r="J247" s="80"/>
      <c r="K247" s="80"/>
      <c r="L247" s="80"/>
      <c r="M247" s="89" t="str">
        <f t="shared" si="16"/>
        <v>b00101010</v>
      </c>
      <c r="N247" s="80"/>
      <c r="O247" s="88" t="str">
        <f>IF(AND(OR(EXACT(F247,"I"),EXACT(F247,"O")),NOT(EXACT(P247,"NA"))),CONCATENATE("c_reg_test_sel_",RIGHT(IF(B247=0,LOOKUP(2,1/($B$2:B247&lt;&gt;0),$B$2:B247),B247),LEN(IF(B247=0,LOOKUP(2,1/($B$2:B247&lt;&gt;0),$B$2:B247),B247))-FIND(".",IF(B247=0,LOOKUP(2,1/($B$2:B247&lt;&gt;0),$B$2:B247),B247))),IF(0,CONCATENATE("&amp; !c_test_reg_pin_disable_",RIGHT(IF(B247=0,LOOKUP(2,1/($B$2:B247&lt;&gt;0),$B$2:B247),B247),LEN(IF(B247=0,LOOKUP(2,1/($B$2:B247&lt;&gt;0),$B$2:B247),B247))-FIND(".",IF(B247=0,LOOKUP(2,1/($B$2:B247&lt;&gt;0),$B$2:B247),B247)))),""),IF(P247,CONCATENATE("_grp_",P247),""),"/","c_pad_",RIGHT(IF(B247=0,LOOKUP(2,1/($B$2:B247&lt;&gt;0),$B$2:B247),B247),LEN(IF(B247=0,LOOKUP(2,1/($B$2:B247&lt;&gt;0),$B$2:B247),B247))-FIND(".",IF(B247=0,LOOKUP(2,1/($B$2:B247&lt;&gt;0),$B$2:B247),B247))),"_",IF(ISNUMBER(SEARCH("[",D247)),LEFT(D247,FIND("[",D247)-1),D247)),"")</f>
        <v>c_reg_test_sel_pad_ring_inst/c_pad_pad_ring_inst_REG_XTALMF</v>
      </c>
      <c r="P247" s="82"/>
      <c r="Q247" s="83" t="s">
        <v>705</v>
      </c>
      <c r="R247" s="78"/>
      <c r="S247" s="78"/>
      <c r="T247" s="83"/>
    </row>
    <row r="248" spans="1:20">
      <c r="A248" s="72" t="s">
        <v>680</v>
      </c>
      <c r="B248" s="83"/>
      <c r="C248" s="78" t="s">
        <v>61</v>
      </c>
      <c r="D248" s="78" t="s">
        <v>706</v>
      </c>
      <c r="E248" s="78">
        <f t="shared" si="15"/>
        <v>1</v>
      </c>
      <c r="F248" s="98" t="s">
        <v>63</v>
      </c>
      <c r="G248" s="83"/>
      <c r="H248" s="83" t="s">
        <v>64</v>
      </c>
      <c r="I248" s="83" t="s">
        <v>65</v>
      </c>
      <c r="J248" s="80"/>
      <c r="K248" s="80"/>
      <c r="L248" s="80"/>
      <c r="M248" s="89" t="str">
        <f t="shared" si="16"/>
        <v>b0</v>
      </c>
      <c r="N248" s="80"/>
      <c r="O248" s="88" t="str">
        <f>IF(AND(OR(EXACT(F248,"I"),EXACT(F248,"O")),NOT(EXACT(P248,"NA"))),CONCATENATE("c_reg_test_sel_",RIGHT(IF(B248=0,LOOKUP(2,1/($B$2:B248&lt;&gt;0),$B$2:B248),B248),LEN(IF(B248=0,LOOKUP(2,1/($B$2:B248&lt;&gt;0),$B$2:B248),B248))-FIND(".",IF(B248=0,LOOKUP(2,1/($B$2:B248&lt;&gt;0),$B$2:B248),B248))),IF(0,CONCATENATE("&amp; !c_test_reg_pin_disable_",RIGHT(IF(B248=0,LOOKUP(2,1/($B$2:B248&lt;&gt;0),$B$2:B248),B248),LEN(IF(B248=0,LOOKUP(2,1/($B$2:B248&lt;&gt;0),$B$2:B248),B248))-FIND(".",IF(B248=0,LOOKUP(2,1/($B$2:B248&lt;&gt;0),$B$2:B248),B248)))),""),IF(P248,CONCATENATE("_grp_",P248),""),"/","c_pad_",RIGHT(IF(B248=0,LOOKUP(2,1/($B$2:B248&lt;&gt;0),$B$2:B248),B248),LEN(IF(B248=0,LOOKUP(2,1/($B$2:B248&lt;&gt;0),$B$2:B248),B248))-FIND(".",IF(B248=0,LOOKUP(2,1/($B$2:B248&lt;&gt;0),$B$2:B248),B248))),"_",IF(ISNUMBER(SEARCH("[",D248)),LEFT(D248,FIND("[",D248)-1),D248)),"")</f>
        <v>c_reg_test_sel_pad_ring_inst/c_pad_pad_ring_inst_XTAL32K_BYP</v>
      </c>
      <c r="P248" s="82"/>
      <c r="Q248" s="83"/>
      <c r="R248" s="78"/>
      <c r="S248" s="78"/>
      <c r="T248" s="83"/>
    </row>
    <row r="249" spans="1:20">
      <c r="A249" s="72" t="s">
        <v>680</v>
      </c>
      <c r="B249" s="83"/>
      <c r="C249" s="78" t="s">
        <v>61</v>
      </c>
      <c r="D249" s="78" t="s">
        <v>707</v>
      </c>
      <c r="E249" s="78">
        <f t="shared" si="15"/>
        <v>1</v>
      </c>
      <c r="F249" s="98" t="s">
        <v>63</v>
      </c>
      <c r="G249" s="83"/>
      <c r="H249" s="83" t="s">
        <v>64</v>
      </c>
      <c r="I249" s="83" t="s">
        <v>65</v>
      </c>
      <c r="J249" s="80"/>
      <c r="K249" s="80"/>
      <c r="L249" s="80"/>
      <c r="M249" s="89" t="str">
        <f t="shared" si="16"/>
        <v>b0</v>
      </c>
      <c r="N249" s="80"/>
      <c r="O249" s="88" t="str">
        <f>IF(AND(OR(EXACT(F249,"I"),EXACT(F249,"O")),NOT(EXACT(P249,"NA"))),CONCATENATE("c_reg_test_sel_",RIGHT(IF(B249=0,LOOKUP(2,1/($B$2:B249&lt;&gt;0),$B$2:B249),B249),LEN(IF(B249=0,LOOKUP(2,1/($B$2:B249&lt;&gt;0),$B$2:B249),B249))-FIND(".",IF(B249=0,LOOKUP(2,1/($B$2:B249&lt;&gt;0),$B$2:B249),B249))),IF(0,CONCATENATE("&amp; !c_test_reg_pin_disable_",RIGHT(IF(B249=0,LOOKUP(2,1/($B$2:B249&lt;&gt;0),$B$2:B249),B249),LEN(IF(B249=0,LOOKUP(2,1/($B$2:B249&lt;&gt;0),$B$2:B249),B249))-FIND(".",IF(B249=0,LOOKUP(2,1/($B$2:B249&lt;&gt;0),$B$2:B249),B249)))),""),IF(P249,CONCATENATE("_grp_",P249),""),"/","c_pad_",RIGHT(IF(B249=0,LOOKUP(2,1/($B$2:B249&lt;&gt;0),$B$2:B249),B249),LEN(IF(B249=0,LOOKUP(2,1/($B$2:B249&lt;&gt;0),$B$2:B249),B249))-FIND(".",IF(B249=0,LOOKUP(2,1/($B$2:B249&lt;&gt;0),$B$2:B249),B249))),"_",IF(ISNUMBER(SEARCH("[",D249)),LEFT(D249,FIND("[",D249)-1),D249)),"")</f>
        <v>c_reg_test_sel_pad_ring_inst/c_pad_pad_ring_inst_XTAL32K_EN</v>
      </c>
      <c r="P249" s="82"/>
      <c r="Q249" s="83"/>
      <c r="R249" s="78"/>
      <c r="S249" s="78"/>
      <c r="T249" s="83"/>
    </row>
    <row r="250" spans="1:20">
      <c r="A250" s="72" t="s">
        <v>680</v>
      </c>
      <c r="B250" s="83"/>
      <c r="C250" s="78" t="s">
        <v>61</v>
      </c>
      <c r="D250" s="78" t="s">
        <v>708</v>
      </c>
      <c r="E250" s="78">
        <f t="shared" si="15"/>
        <v>1</v>
      </c>
      <c r="F250" s="98" t="s">
        <v>63</v>
      </c>
      <c r="G250" s="83"/>
      <c r="H250" s="83" t="s">
        <v>64</v>
      </c>
      <c r="I250" s="83" t="s">
        <v>65</v>
      </c>
      <c r="J250" s="80"/>
      <c r="K250" s="80"/>
      <c r="L250" s="80"/>
      <c r="M250" s="89" t="str">
        <f t="shared" si="16"/>
        <v>b0</v>
      </c>
      <c r="N250" s="80"/>
      <c r="O250" s="88" t="str">
        <f>IF(AND(OR(EXACT(F250,"I"),EXACT(F250,"O")),NOT(EXACT(P250,"NA"))),CONCATENATE("c_reg_test_sel_",RIGHT(IF(B250=0,LOOKUP(2,1/($B$2:B250&lt;&gt;0),$B$2:B250),B250),LEN(IF(B250=0,LOOKUP(2,1/($B$2:B250&lt;&gt;0),$B$2:B250),B250))-FIND(".",IF(B250=0,LOOKUP(2,1/($B$2:B250&lt;&gt;0),$B$2:B250),B250))),IF(0,CONCATENATE("&amp; !c_test_reg_pin_disable_",RIGHT(IF(B250=0,LOOKUP(2,1/($B$2:B250&lt;&gt;0),$B$2:B250),B250),LEN(IF(B250=0,LOOKUP(2,1/($B$2:B250&lt;&gt;0),$B$2:B250),B250))-FIND(".",IF(B250=0,LOOKUP(2,1/($B$2:B250&lt;&gt;0),$B$2:B250),B250)))),""),IF(P250,CONCATENATE("_grp_",P250),""),"/","c_pad_",RIGHT(IF(B250=0,LOOKUP(2,1/($B$2:B250&lt;&gt;0),$B$2:B250),B250),LEN(IF(B250=0,LOOKUP(2,1/($B$2:B250&lt;&gt;0),$B$2:B250),B250))-FIND(".",IF(B250=0,LOOKUP(2,1/($B$2:B250&lt;&gt;0),$B$2:B250),B250))),"_",IF(ISNUMBER(SEARCH("[",D250)),LEFT(D250,FIND("[",D250)-1),D250)),"")</f>
        <v>c_reg_test_sel_pad_ring_inst/c_pad_pad_ring_inst_XTAL_BYP</v>
      </c>
      <c r="P250" s="82"/>
      <c r="Q250" s="83"/>
      <c r="R250" s="78"/>
      <c r="S250" s="78"/>
      <c r="T250" s="83"/>
    </row>
    <row r="251" spans="1:20">
      <c r="A251" s="72" t="s">
        <v>680</v>
      </c>
      <c r="B251" s="83"/>
      <c r="C251" s="78" t="s">
        <v>61</v>
      </c>
      <c r="D251" s="78" t="s">
        <v>709</v>
      </c>
      <c r="E251" s="78">
        <f t="shared" si="15"/>
        <v>1</v>
      </c>
      <c r="F251" s="98" t="s">
        <v>63</v>
      </c>
      <c r="G251" s="83"/>
      <c r="H251" s="83" t="s">
        <v>64</v>
      </c>
      <c r="I251" s="83" t="s">
        <v>65</v>
      </c>
      <c r="J251" s="80"/>
      <c r="K251" s="80"/>
      <c r="L251" s="80"/>
      <c r="M251" s="89" t="str">
        <f t="shared" si="16"/>
        <v>b0</v>
      </c>
      <c r="N251" s="80"/>
      <c r="O251" s="88" t="str">
        <f>IF(AND(OR(EXACT(F251,"I"),EXACT(F251,"O")),NOT(EXACT(P251,"NA"))),CONCATENATE("c_reg_test_sel_",RIGHT(IF(B251=0,LOOKUP(2,1/($B$2:B251&lt;&gt;0),$B$2:B251),B251),LEN(IF(B251=0,LOOKUP(2,1/($B$2:B251&lt;&gt;0),$B$2:B251),B251))-FIND(".",IF(B251=0,LOOKUP(2,1/($B$2:B251&lt;&gt;0),$B$2:B251),B251))),IF(0,CONCATENATE("&amp; !c_test_reg_pin_disable_",RIGHT(IF(B251=0,LOOKUP(2,1/($B$2:B251&lt;&gt;0),$B$2:B251),B251),LEN(IF(B251=0,LOOKUP(2,1/($B$2:B251&lt;&gt;0),$B$2:B251),B251))-FIND(".",IF(B251=0,LOOKUP(2,1/($B$2:B251&lt;&gt;0),$B$2:B251),B251)))),""),IF(P251,CONCATENATE("_grp_",P251),""),"/","c_pad_",RIGHT(IF(B251=0,LOOKUP(2,1/($B$2:B251&lt;&gt;0),$B$2:B251),B251),LEN(IF(B251=0,LOOKUP(2,1/($B$2:B251&lt;&gt;0),$B$2:B251),B251))-FIND(".",IF(B251=0,LOOKUP(2,1/($B$2:B251&lt;&gt;0),$B$2:B251),B251))),"_",IF(ISNUMBER(SEARCH("[",D251)),LEFT(D251,FIND("[",D251)-1),D251)),"")</f>
        <v>c_reg_test_sel_pad_ring_inst/c_pad_pad_ring_inst_XTAL_EN</v>
      </c>
      <c r="P251" s="82"/>
      <c r="Q251" s="83"/>
      <c r="R251" s="78"/>
      <c r="S251" s="78"/>
      <c r="T251" s="83"/>
    </row>
    <row r="252" hidden="1" spans="1:20">
      <c r="A252" s="72" t="s">
        <v>680</v>
      </c>
      <c r="B252" s="83"/>
      <c r="C252" s="78" t="s">
        <v>61</v>
      </c>
      <c r="D252" s="78" t="s">
        <v>710</v>
      </c>
      <c r="E252" s="78">
        <f t="shared" si="15"/>
        <v>1</v>
      </c>
      <c r="F252" s="98" t="s">
        <v>79</v>
      </c>
      <c r="G252" s="83"/>
      <c r="H252" s="83"/>
      <c r="I252" s="83" t="s">
        <v>65</v>
      </c>
      <c r="J252" s="80"/>
      <c r="K252" s="80"/>
      <c r="L252" s="80"/>
      <c r="M252" s="89">
        <f t="shared" si="16"/>
        <v>0</v>
      </c>
      <c r="N252" s="80"/>
      <c r="O252" s="88" t="str">
        <f>IF(AND(OR(EXACT(F252,"I"),EXACT(F252,"O")),NOT(EXACT(P252,"NA"))),CONCATENATE("c_reg_test_sel_",RIGHT(IF(B252=0,LOOKUP(2,1/($B$2:B252&lt;&gt;0),$B$2:B252),B252),LEN(IF(B252=0,LOOKUP(2,1/($B$2:B252&lt;&gt;0),$B$2:B252),B252))-FIND(".",IF(B252=0,LOOKUP(2,1/($B$2:B252&lt;&gt;0),$B$2:B252),B252))),IF(0,CONCATENATE("&amp; !c_test_reg_pin_disable_",RIGHT(IF(B252=0,LOOKUP(2,1/($B$2:B252&lt;&gt;0),$B$2:B252),B252),LEN(IF(B252=0,LOOKUP(2,1/($B$2:B252&lt;&gt;0),$B$2:B252),B252))-FIND(".",IF(B252=0,LOOKUP(2,1/($B$2:B252&lt;&gt;0),$B$2:B252),B252)))),""),IF(P252,CONCATENATE("_grp_",P252),""),"/","c_pad_",RIGHT(IF(B252=0,LOOKUP(2,1/($B$2:B252&lt;&gt;0),$B$2:B252),B252),LEN(IF(B252=0,LOOKUP(2,1/($B$2:B252&lt;&gt;0),$B$2:B252),B252))-FIND(".",IF(B252=0,LOOKUP(2,1/($B$2:B252&lt;&gt;0),$B$2:B252),B252))),"_",IF(ISNUMBER(SEARCH("[",D252)),LEFT(D252,FIND("[",D252)-1),D252)),"")</f>
        <v/>
      </c>
      <c r="P252" s="82" t="s">
        <v>260</v>
      </c>
      <c r="Q252" s="83"/>
      <c r="R252" s="78"/>
      <c r="S252" s="78"/>
      <c r="T252" s="83"/>
    </row>
    <row r="253" hidden="1" spans="1:20">
      <c r="A253" s="72" t="s">
        <v>680</v>
      </c>
      <c r="B253" s="83"/>
      <c r="C253" s="78" t="s">
        <v>61</v>
      </c>
      <c r="D253" s="78" t="s">
        <v>711</v>
      </c>
      <c r="E253" s="78">
        <f t="shared" si="15"/>
        <v>1</v>
      </c>
      <c r="F253" s="98" t="s">
        <v>79</v>
      </c>
      <c r="G253" s="83"/>
      <c r="H253" s="83"/>
      <c r="I253" s="83" t="s">
        <v>65</v>
      </c>
      <c r="J253" s="80"/>
      <c r="K253" s="80"/>
      <c r="L253" s="80"/>
      <c r="M253" s="89">
        <f t="shared" si="16"/>
        <v>0</v>
      </c>
      <c r="N253" s="80"/>
      <c r="O253" s="88" t="str">
        <f>IF(AND(OR(EXACT(F253,"I"),EXACT(F253,"O")),NOT(EXACT(P253,"NA"))),CONCATENATE("c_reg_test_sel_",RIGHT(IF(B253=0,LOOKUP(2,1/($B$2:B253&lt;&gt;0),$B$2:B253),B253),LEN(IF(B253=0,LOOKUP(2,1/($B$2:B253&lt;&gt;0),$B$2:B253),B253))-FIND(".",IF(B253=0,LOOKUP(2,1/($B$2:B253&lt;&gt;0),$B$2:B253),B253))),IF(0,CONCATENATE("&amp; !c_test_reg_pin_disable_",RIGHT(IF(B253=0,LOOKUP(2,1/($B$2:B253&lt;&gt;0),$B$2:B253),B253),LEN(IF(B253=0,LOOKUP(2,1/($B$2:B253&lt;&gt;0),$B$2:B253),B253))-FIND(".",IF(B253=0,LOOKUP(2,1/($B$2:B253&lt;&gt;0),$B$2:B253),B253)))),""),IF(P253,CONCATENATE("_grp_",P253),""),"/","c_pad_",RIGHT(IF(B253=0,LOOKUP(2,1/($B$2:B253&lt;&gt;0),$B$2:B253),B253),LEN(IF(B253=0,LOOKUP(2,1/($B$2:B253&lt;&gt;0),$B$2:B253),B253))-FIND(".",IF(B253=0,LOOKUP(2,1/($B$2:B253&lt;&gt;0),$B$2:B253),B253))),"_",IF(ISNUMBER(SEARCH("[",D253)),LEFT(D253,FIND("[",D253)-1),D253)),"")</f>
        <v/>
      </c>
      <c r="P253" s="82" t="s">
        <v>260</v>
      </c>
      <c r="Q253" s="83"/>
      <c r="R253" s="78"/>
      <c r="S253" s="78"/>
      <c r="T253" s="83"/>
    </row>
    <row r="254" hidden="1" spans="1:20">
      <c r="A254" s="72" t="s">
        <v>680</v>
      </c>
      <c r="B254" s="83"/>
      <c r="C254" s="78" t="s">
        <v>61</v>
      </c>
      <c r="D254" s="78" t="s">
        <v>712</v>
      </c>
      <c r="E254" s="78">
        <f t="shared" si="15"/>
        <v>1</v>
      </c>
      <c r="F254" s="98" t="s">
        <v>79</v>
      </c>
      <c r="G254" s="83"/>
      <c r="H254" s="83"/>
      <c r="I254" s="83" t="s">
        <v>65</v>
      </c>
      <c r="J254" s="80"/>
      <c r="K254" s="80"/>
      <c r="L254" s="80"/>
      <c r="M254" s="89">
        <f t="shared" si="16"/>
        <v>0</v>
      </c>
      <c r="N254" s="80"/>
      <c r="O254" s="88" t="str">
        <f>IF(AND(OR(EXACT(F254,"I"),EXACT(F254,"O")),NOT(EXACT(P254,"NA"))),CONCATENATE("c_reg_test_sel_",RIGHT(IF(B254=0,LOOKUP(2,1/($B$2:B254&lt;&gt;0),$B$2:B254),B254),LEN(IF(B254=0,LOOKUP(2,1/($B$2:B254&lt;&gt;0),$B$2:B254),B254))-FIND(".",IF(B254=0,LOOKUP(2,1/($B$2:B254&lt;&gt;0),$B$2:B254),B254))),IF(0,CONCATENATE("&amp; !c_test_reg_pin_disable_",RIGHT(IF(B254=0,LOOKUP(2,1/($B$2:B254&lt;&gt;0),$B$2:B254),B254),LEN(IF(B254=0,LOOKUP(2,1/($B$2:B254&lt;&gt;0),$B$2:B254),B254))-FIND(".",IF(B254=0,LOOKUP(2,1/($B$2:B254&lt;&gt;0),$B$2:B254),B254)))),""),IF(P254,CONCATENATE("_grp_",P254),""),"/","c_pad_",RIGHT(IF(B254=0,LOOKUP(2,1/($B$2:B254&lt;&gt;0),$B$2:B254),B254),LEN(IF(B254=0,LOOKUP(2,1/($B$2:B254&lt;&gt;0),$B$2:B254),B254))-FIND(".",IF(B254=0,LOOKUP(2,1/($B$2:B254&lt;&gt;0),$B$2:B254),B254))),"_",IF(ISNUMBER(SEARCH("[",D254)),LEFT(D254,FIND("[",D254)-1),D254)),"")</f>
        <v/>
      </c>
      <c r="P254" s="82" t="s">
        <v>260</v>
      </c>
      <c r="Q254" s="83"/>
      <c r="R254" s="78"/>
      <c r="S254" s="78"/>
      <c r="T254" s="83"/>
    </row>
    <row r="255" hidden="1" spans="1:20">
      <c r="A255" s="72" t="s">
        <v>680</v>
      </c>
      <c r="B255" s="83"/>
      <c r="C255" s="78" t="s">
        <v>61</v>
      </c>
      <c r="D255" s="78" t="s">
        <v>713</v>
      </c>
      <c r="E255" s="78">
        <f t="shared" si="15"/>
        <v>1</v>
      </c>
      <c r="F255" s="98" t="s">
        <v>79</v>
      </c>
      <c r="G255" s="83"/>
      <c r="H255" s="83"/>
      <c r="I255" s="83" t="s">
        <v>80</v>
      </c>
      <c r="J255" s="80"/>
      <c r="K255" s="80"/>
      <c r="L255" s="80"/>
      <c r="M255" s="89">
        <f t="shared" si="16"/>
        <v>0</v>
      </c>
      <c r="N255" s="80"/>
      <c r="O255" s="88" t="str">
        <f>IF(AND(OR(EXACT(F255,"I"),EXACT(F255,"O")),NOT(EXACT(P255,"NA"))),CONCATENATE("c_reg_test_sel_",RIGHT(IF(B255=0,LOOKUP(2,1/($B$2:B255&lt;&gt;0),$B$2:B255),B255),LEN(IF(B255=0,LOOKUP(2,1/($B$2:B255&lt;&gt;0),$B$2:B255),B255))-FIND(".",IF(B255=0,LOOKUP(2,1/($B$2:B255&lt;&gt;0),$B$2:B255),B255))),IF(0,CONCATENATE("&amp; !c_test_reg_pin_disable_",RIGHT(IF(B255=0,LOOKUP(2,1/($B$2:B255&lt;&gt;0),$B$2:B255),B255),LEN(IF(B255=0,LOOKUP(2,1/($B$2:B255&lt;&gt;0),$B$2:B255),B255))-FIND(".",IF(B255=0,LOOKUP(2,1/($B$2:B255&lt;&gt;0),$B$2:B255),B255)))),""),IF(P255,CONCATENATE("_grp_",P255),""),"/","c_pad_",RIGHT(IF(B255=0,LOOKUP(2,1/($B$2:B255&lt;&gt;0),$B$2:B255),B255),LEN(IF(B255=0,LOOKUP(2,1/($B$2:B255&lt;&gt;0),$B$2:B255),B255))-FIND(".",IF(B255=0,LOOKUP(2,1/($B$2:B255&lt;&gt;0),$B$2:B255),B255))),"_",IF(ISNUMBER(SEARCH("[",D255)),LEFT(D255,FIND("[",D255)-1),D255)),"")</f>
        <v>c_reg_test_sel_pad_ring_inst/c_pad_pad_ring_inst_XC</v>
      </c>
      <c r="P255" s="82"/>
      <c r="Q255" s="83"/>
      <c r="R255" s="78"/>
      <c r="S255" s="78"/>
      <c r="T255" s="83"/>
    </row>
    <row r="256" hidden="1" spans="1:20">
      <c r="A256" s="72" t="s">
        <v>680</v>
      </c>
      <c r="B256" s="83"/>
      <c r="C256" s="78" t="s">
        <v>61</v>
      </c>
      <c r="D256" s="78" t="s">
        <v>714</v>
      </c>
      <c r="E256" s="78">
        <f t="shared" si="15"/>
        <v>1</v>
      </c>
      <c r="F256" s="98" t="s">
        <v>79</v>
      </c>
      <c r="G256" s="83"/>
      <c r="H256" s="83"/>
      <c r="I256" s="83" t="s">
        <v>80</v>
      </c>
      <c r="J256" s="80"/>
      <c r="K256" s="80"/>
      <c r="L256" s="80"/>
      <c r="M256" s="89">
        <f t="shared" si="16"/>
        <v>0</v>
      </c>
      <c r="N256" s="80"/>
      <c r="O256" s="88" t="str">
        <f>IF(AND(OR(EXACT(F256,"I"),EXACT(F256,"O")),NOT(EXACT(P256,"NA"))),CONCATENATE("c_reg_test_sel_",RIGHT(IF(B256=0,LOOKUP(2,1/($B$2:B256&lt;&gt;0),$B$2:B256),B256),LEN(IF(B256=0,LOOKUP(2,1/($B$2:B256&lt;&gt;0),$B$2:B256),B256))-FIND(".",IF(B256=0,LOOKUP(2,1/($B$2:B256&lt;&gt;0),$B$2:B256),B256))),IF(0,CONCATENATE("&amp; !c_test_reg_pin_disable_",RIGHT(IF(B256=0,LOOKUP(2,1/($B$2:B256&lt;&gt;0),$B$2:B256),B256),LEN(IF(B256=0,LOOKUP(2,1/($B$2:B256&lt;&gt;0),$B$2:B256),B256))-FIND(".",IF(B256=0,LOOKUP(2,1/($B$2:B256&lt;&gt;0),$B$2:B256),B256)))),""),IF(P256,CONCATENATE("_grp_",P256),""),"/","c_pad_",RIGHT(IF(B256=0,LOOKUP(2,1/($B$2:B256&lt;&gt;0),$B$2:B256),B256),LEN(IF(B256=0,LOOKUP(2,1/($B$2:B256&lt;&gt;0),$B$2:B256),B256))-FIND(".",IF(B256=0,LOOKUP(2,1/($B$2:B256&lt;&gt;0),$B$2:B256),B256))),"_",IF(ISNUMBER(SEARCH("[",D256)),LEFT(D256,FIND("[",D256)-1),D256)),"")</f>
        <v>c_reg_test_sel_pad_ring_inst/c_pad_pad_ring_inst_XTAL32K_XC</v>
      </c>
      <c r="P256" s="82"/>
      <c r="Q256" s="83"/>
      <c r="R256" s="78"/>
      <c r="S256" s="78"/>
      <c r="T256" s="8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T256" etc:filterBottomFollowUsedRange="0">
    <filterColumn colId="5">
      <customFilters>
        <customFilter operator="equal" val="I"/>
      </customFilters>
    </filterColumn>
    <extLst/>
  </autoFilter>
  <mergeCells count="13">
    <mergeCell ref="B2:B11"/>
    <mergeCell ref="B12:B18"/>
    <mergeCell ref="B19:B31"/>
    <mergeCell ref="B32:B56"/>
    <mergeCell ref="B57:B71"/>
    <mergeCell ref="B72:B115"/>
    <mergeCell ref="B116:B169"/>
    <mergeCell ref="B170:B186"/>
    <mergeCell ref="B187:B209"/>
    <mergeCell ref="B210:B221"/>
    <mergeCell ref="B222:B233"/>
    <mergeCell ref="B234:B237"/>
    <mergeCell ref="B238:B256"/>
  </mergeCell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269"/>
  <sheetViews>
    <sheetView zoomScale="85" zoomScaleNormal="85" workbookViewId="0">
      <selection activeCell="D10" sqref="D10"/>
    </sheetView>
  </sheetViews>
  <sheetFormatPr defaultColWidth="9" defaultRowHeight="14.25"/>
  <cols>
    <col min="1" max="1" width="15.2166666666667" style="27" customWidth="1"/>
    <col min="2" max="2" width="15" style="27" customWidth="1"/>
    <col min="3" max="3" width="22.775" style="27" customWidth="1"/>
    <col min="4" max="4" width="24.8833333333333" style="27" customWidth="1"/>
    <col min="5" max="5" width="29.1083333333333" style="27" customWidth="1"/>
    <col min="6" max="6" width="23.2166666666667" style="27" customWidth="1"/>
    <col min="7" max="7" width="26.6666666666667" style="27" customWidth="1"/>
    <col min="8" max="8" width="27.6666666666667" style="27" customWidth="1"/>
    <col min="9" max="9" width="23.2166666666667" style="27" customWidth="1"/>
    <col min="10" max="10" width="28.1083333333333" style="27" customWidth="1"/>
    <col min="11" max="11" width="24.3333333333333" style="27" customWidth="1"/>
    <col min="12" max="12" width="32.2166666666667" style="27" customWidth="1"/>
    <col min="13" max="16384" width="9" style="27"/>
  </cols>
  <sheetData>
    <row r="1" spans="1:12">
      <c r="A1" s="28" t="s">
        <v>715</v>
      </c>
      <c r="B1" s="28" t="s">
        <v>46</v>
      </c>
      <c r="C1" s="29" t="s">
        <v>716</v>
      </c>
      <c r="D1" s="29" t="s">
        <v>717</v>
      </c>
      <c r="E1" s="30" t="s">
        <v>718</v>
      </c>
      <c r="F1" s="30"/>
      <c r="G1" s="30"/>
      <c r="H1" s="30"/>
      <c r="I1" s="30"/>
      <c r="J1" s="30"/>
      <c r="K1" s="30"/>
      <c r="L1" s="30"/>
    </row>
    <row r="2" spans="1:12">
      <c r="A2" s="28">
        <v>0</v>
      </c>
      <c r="B2" s="28" t="str">
        <f>CONCATENATE("0x",DEC2HEX(A2,4))</f>
        <v>0x0000</v>
      </c>
      <c r="C2" s="28" t="s">
        <v>719</v>
      </c>
      <c r="D2" s="28" t="s">
        <v>720</v>
      </c>
      <c r="E2" s="29" t="s">
        <v>721</v>
      </c>
      <c r="F2" s="31"/>
      <c r="G2" s="31"/>
      <c r="H2" s="31"/>
      <c r="I2" s="31"/>
      <c r="J2" s="31"/>
      <c r="K2" s="31"/>
      <c r="L2" s="32"/>
    </row>
    <row r="3" spans="1:12">
      <c r="A3" s="28">
        <v>1</v>
      </c>
      <c r="B3" s="28" t="str">
        <f t="shared" ref="B3:B66" si="0">CONCATENATE("0x",DEC2HEX(A3,4))</f>
        <v>0x0001</v>
      </c>
      <c r="C3" s="28"/>
      <c r="D3" s="28" t="s">
        <v>722</v>
      </c>
      <c r="E3" s="29" t="s">
        <v>723</v>
      </c>
      <c r="F3" s="31"/>
      <c r="G3" s="31"/>
      <c r="H3" s="31"/>
      <c r="I3" s="31"/>
      <c r="J3" s="31"/>
      <c r="K3" s="31"/>
      <c r="L3" s="32"/>
    </row>
    <row r="4" spans="1:12">
      <c r="A4" s="28">
        <v>2</v>
      </c>
      <c r="B4" s="28" t="str">
        <f t="shared" si="0"/>
        <v>0x0002</v>
      </c>
      <c r="C4" s="28"/>
      <c r="D4" s="28" t="s">
        <v>724</v>
      </c>
      <c r="E4" s="29" t="s">
        <v>725</v>
      </c>
      <c r="F4" s="31"/>
      <c r="G4" s="31"/>
      <c r="H4" s="31"/>
      <c r="I4" s="31"/>
      <c r="J4" s="31"/>
      <c r="K4" s="31"/>
      <c r="L4" s="32"/>
    </row>
    <row r="5" spans="1:12">
      <c r="A5" s="28">
        <v>3</v>
      </c>
      <c r="B5" s="28" t="str">
        <f t="shared" si="0"/>
        <v>0x0003</v>
      </c>
      <c r="C5" s="28"/>
      <c r="D5" s="28" t="s">
        <v>726</v>
      </c>
      <c r="E5" s="33"/>
      <c r="F5" s="33"/>
      <c r="G5" s="33"/>
      <c r="H5" s="33"/>
      <c r="I5" s="33"/>
      <c r="J5" s="33"/>
      <c r="K5" s="33"/>
      <c r="L5" s="33"/>
    </row>
    <row r="6" spans="1:12">
      <c r="A6" s="28">
        <v>4</v>
      </c>
      <c r="B6" s="28" t="str">
        <f t="shared" si="0"/>
        <v>0x0004</v>
      </c>
      <c r="C6" s="28" t="s">
        <v>727</v>
      </c>
      <c r="D6" s="28" t="s">
        <v>728</v>
      </c>
      <c r="E6" s="28" t="s">
        <v>729</v>
      </c>
      <c r="F6" s="34"/>
      <c r="G6" s="34"/>
      <c r="H6" s="34"/>
      <c r="I6" s="34"/>
      <c r="J6" s="34"/>
      <c r="K6" s="34"/>
      <c r="L6" s="34"/>
    </row>
    <row r="7" spans="1:12">
      <c r="A7" s="28">
        <v>5</v>
      </c>
      <c r="B7" s="28" t="str">
        <f t="shared" si="0"/>
        <v>0x0005</v>
      </c>
      <c r="C7" s="28"/>
      <c r="D7" s="28" t="s">
        <v>730</v>
      </c>
      <c r="E7" s="34"/>
      <c r="F7" s="34"/>
      <c r="G7" s="34"/>
      <c r="H7" s="34"/>
      <c r="I7" s="28" t="s">
        <v>731</v>
      </c>
      <c r="J7" s="34"/>
      <c r="K7" s="34"/>
      <c r="L7" s="34"/>
    </row>
    <row r="8" spans="1:12">
      <c r="A8" s="28">
        <v>6</v>
      </c>
      <c r="B8" s="28" t="str">
        <f t="shared" si="0"/>
        <v>0x0006</v>
      </c>
      <c r="C8" s="28"/>
      <c r="D8" s="28" t="s">
        <v>732</v>
      </c>
      <c r="E8" s="33"/>
      <c r="F8" s="33"/>
      <c r="G8" s="33"/>
      <c r="H8" s="33"/>
      <c r="I8" s="28" t="s">
        <v>733</v>
      </c>
      <c r="J8" s="34"/>
      <c r="K8" s="34"/>
      <c r="L8" s="34"/>
    </row>
    <row r="9" spans="1:12">
      <c r="A9" s="28">
        <v>7</v>
      </c>
      <c r="B9" s="28" t="str">
        <f t="shared" si="0"/>
        <v>0x0007</v>
      </c>
      <c r="C9" s="28"/>
      <c r="D9" s="28" t="s">
        <v>734</v>
      </c>
      <c r="E9" s="34"/>
      <c r="F9" s="33"/>
      <c r="G9" s="33"/>
      <c r="H9" s="33"/>
      <c r="I9" s="28" t="s">
        <v>735</v>
      </c>
      <c r="J9" s="34"/>
      <c r="K9" s="34"/>
      <c r="L9" s="34"/>
    </row>
    <row r="10" spans="1:12">
      <c r="A10" s="28">
        <v>8</v>
      </c>
      <c r="B10" s="28" t="str">
        <f t="shared" si="0"/>
        <v>0x0008</v>
      </c>
      <c r="C10" s="28" t="s">
        <v>736</v>
      </c>
      <c r="D10" s="28" t="s">
        <v>737</v>
      </c>
      <c r="E10" s="33"/>
      <c r="F10" s="34"/>
      <c r="G10" s="34"/>
      <c r="H10" s="34"/>
      <c r="I10" s="34"/>
      <c r="J10" s="34"/>
      <c r="K10" s="34"/>
      <c r="L10" s="28" t="s">
        <v>738</v>
      </c>
    </row>
    <row r="11" spans="1:12">
      <c r="A11" s="28">
        <v>9</v>
      </c>
      <c r="B11" s="28" t="str">
        <f t="shared" si="0"/>
        <v>0x0009</v>
      </c>
      <c r="C11" s="28"/>
      <c r="D11" s="28" t="s">
        <v>739</v>
      </c>
      <c r="E11" s="33"/>
      <c r="F11" s="33"/>
      <c r="G11" s="33"/>
      <c r="H11" s="33"/>
      <c r="I11" s="34"/>
      <c r="J11" s="34"/>
      <c r="K11" s="28" t="s">
        <v>740</v>
      </c>
      <c r="L11" s="34"/>
    </row>
    <row r="12" spans="1:12">
      <c r="A12" s="28">
        <v>10</v>
      </c>
      <c r="B12" s="28" t="str">
        <f t="shared" si="0"/>
        <v>0x000A</v>
      </c>
      <c r="C12" s="28"/>
      <c r="D12" s="28" t="s">
        <v>741</v>
      </c>
      <c r="E12" s="33"/>
      <c r="F12" s="33"/>
      <c r="G12" s="33"/>
      <c r="H12" s="33"/>
      <c r="I12" s="33"/>
      <c r="J12" s="33"/>
      <c r="K12" s="33"/>
      <c r="L12" s="28" t="s">
        <v>742</v>
      </c>
    </row>
    <row r="13" spans="1:12">
      <c r="A13" s="28">
        <v>11</v>
      </c>
      <c r="B13" s="28" t="str">
        <f t="shared" si="0"/>
        <v>0x000B</v>
      </c>
      <c r="C13" s="28"/>
      <c r="D13" s="28" t="s">
        <v>743</v>
      </c>
      <c r="E13" s="33"/>
      <c r="F13" s="33"/>
      <c r="G13" s="33"/>
      <c r="H13" s="28" t="s">
        <v>744</v>
      </c>
      <c r="I13" s="33"/>
      <c r="J13" s="28"/>
      <c r="K13" s="28" t="s">
        <v>745</v>
      </c>
      <c r="L13" s="28" t="s">
        <v>746</v>
      </c>
    </row>
    <row r="14" spans="1:12">
      <c r="A14" s="28">
        <v>12</v>
      </c>
      <c r="B14" s="28" t="str">
        <f t="shared" si="0"/>
        <v>0x000C</v>
      </c>
      <c r="C14" s="28" t="s">
        <v>747</v>
      </c>
      <c r="D14" s="28" t="s">
        <v>748</v>
      </c>
      <c r="E14" s="33"/>
      <c r="F14" s="33"/>
      <c r="G14" s="35" t="s">
        <v>749</v>
      </c>
      <c r="H14" s="36"/>
      <c r="I14" s="36"/>
      <c r="J14" s="36"/>
      <c r="K14" s="36"/>
      <c r="L14" s="37"/>
    </row>
    <row r="15" spans="1:12">
      <c r="A15" s="28">
        <v>13</v>
      </c>
      <c r="B15" s="28" t="str">
        <f t="shared" si="0"/>
        <v>0x000D</v>
      </c>
      <c r="C15" s="28"/>
      <c r="D15" s="28" t="s">
        <v>750</v>
      </c>
      <c r="E15" s="33"/>
      <c r="F15" s="33"/>
      <c r="G15" s="33"/>
      <c r="H15" s="35" t="s">
        <v>751</v>
      </c>
      <c r="I15" s="36"/>
      <c r="J15" s="36"/>
      <c r="K15" s="36"/>
      <c r="L15" s="37"/>
    </row>
    <row r="16" spans="1:12">
      <c r="A16" s="28">
        <v>14</v>
      </c>
      <c r="B16" s="28" t="str">
        <f t="shared" si="0"/>
        <v>0x000E</v>
      </c>
      <c r="C16" s="28"/>
      <c r="D16" s="28" t="s">
        <v>752</v>
      </c>
      <c r="E16" s="33"/>
      <c r="F16" s="33"/>
      <c r="G16" s="33"/>
      <c r="H16" s="33"/>
      <c r="I16" s="33"/>
      <c r="J16" s="33"/>
      <c r="K16" s="35" t="s">
        <v>753</v>
      </c>
      <c r="L16" s="37"/>
    </row>
    <row r="17" spans="1:12">
      <c r="A17" s="28">
        <v>15</v>
      </c>
      <c r="B17" s="28" t="str">
        <f t="shared" si="0"/>
        <v>0x000F</v>
      </c>
      <c r="C17" s="28"/>
      <c r="D17" s="28" t="s">
        <v>754</v>
      </c>
      <c r="E17" s="33"/>
      <c r="F17" s="33"/>
      <c r="G17" s="33"/>
      <c r="H17" s="33"/>
      <c r="I17" s="33"/>
      <c r="J17" s="35" t="s">
        <v>755</v>
      </c>
      <c r="K17" s="36"/>
      <c r="L17" s="37"/>
    </row>
    <row r="18" spans="1:12">
      <c r="A18" s="28">
        <v>16</v>
      </c>
      <c r="B18" s="28" t="str">
        <f t="shared" si="0"/>
        <v>0x0010</v>
      </c>
      <c r="C18" s="28" t="s">
        <v>756</v>
      </c>
      <c r="D18" s="28" t="s">
        <v>757</v>
      </c>
      <c r="E18" s="33"/>
      <c r="F18" s="33"/>
      <c r="G18" s="33"/>
      <c r="H18" s="33"/>
      <c r="I18" s="35" t="s">
        <v>758</v>
      </c>
      <c r="J18" s="36"/>
      <c r="K18" s="36"/>
      <c r="L18" s="37"/>
    </row>
    <row r="19" spans="1:12">
      <c r="A19" s="28">
        <v>17</v>
      </c>
      <c r="B19" s="28" t="str">
        <f t="shared" si="0"/>
        <v>0x0011</v>
      </c>
      <c r="C19" s="28"/>
      <c r="D19" s="28" t="s">
        <v>759</v>
      </c>
      <c r="E19" s="33"/>
      <c r="F19" s="33"/>
      <c r="G19" s="33"/>
      <c r="H19" s="33"/>
      <c r="I19" s="38" t="s">
        <v>760</v>
      </c>
      <c r="J19" s="39"/>
      <c r="K19" s="39"/>
      <c r="L19" s="40"/>
    </row>
    <row r="20" spans="1:12">
      <c r="A20" s="28">
        <v>18</v>
      </c>
      <c r="B20" s="28" t="str">
        <f t="shared" si="0"/>
        <v>0x0012</v>
      </c>
      <c r="C20" s="28"/>
      <c r="D20" s="28" t="s">
        <v>761</v>
      </c>
      <c r="E20" s="33"/>
      <c r="F20" s="33"/>
      <c r="G20" s="33"/>
      <c r="H20" s="33"/>
      <c r="I20" s="33"/>
      <c r="J20" s="33"/>
      <c r="K20" s="33"/>
      <c r="L20" s="35" t="s">
        <v>762</v>
      </c>
    </row>
    <row r="21" spans="1:12">
      <c r="A21" s="28">
        <v>19</v>
      </c>
      <c r="B21" s="28" t="str">
        <f t="shared" si="0"/>
        <v>0x0013</v>
      </c>
      <c r="C21" s="28"/>
      <c r="D21" s="28" t="s">
        <v>763</v>
      </c>
      <c r="E21" s="41"/>
      <c r="F21" s="41"/>
      <c r="G21" s="41"/>
      <c r="H21" s="41"/>
      <c r="I21" s="41"/>
      <c r="J21" s="41"/>
      <c r="K21" s="41"/>
      <c r="L21" s="42" t="s">
        <v>764</v>
      </c>
    </row>
    <row r="22" spans="1:12">
      <c r="A22" s="28">
        <v>20</v>
      </c>
      <c r="B22" s="28" t="str">
        <f t="shared" si="0"/>
        <v>0x0014</v>
      </c>
      <c r="C22" s="28" t="s">
        <v>765</v>
      </c>
      <c r="D22" s="28" t="s">
        <v>766</v>
      </c>
      <c r="E22" s="28" t="s">
        <v>767</v>
      </c>
      <c r="F22" s="28"/>
      <c r="G22" s="28"/>
      <c r="H22" s="28"/>
      <c r="I22" s="28"/>
      <c r="J22" s="28"/>
      <c r="K22" s="28"/>
      <c r="L22" s="28"/>
    </row>
    <row r="23" spans="1:12">
      <c r="A23" s="28">
        <v>21</v>
      </c>
      <c r="B23" s="28" t="str">
        <f t="shared" si="0"/>
        <v>0x0015</v>
      </c>
      <c r="C23" s="28"/>
      <c r="D23" s="28" t="s">
        <v>768</v>
      </c>
      <c r="E23" s="33"/>
      <c r="F23" s="33"/>
      <c r="G23" s="33"/>
      <c r="H23" s="28" t="s">
        <v>769</v>
      </c>
      <c r="I23" s="28"/>
      <c r="J23" s="28"/>
      <c r="K23" s="28"/>
      <c r="L23" s="28"/>
    </row>
    <row r="24" spans="1:12">
      <c r="A24" s="28">
        <v>22</v>
      </c>
      <c r="B24" s="28" t="str">
        <f t="shared" si="0"/>
        <v>0x0016</v>
      </c>
      <c r="C24" s="28"/>
      <c r="D24" s="28" t="s">
        <v>770</v>
      </c>
      <c r="E24" s="33"/>
      <c r="F24" s="33"/>
      <c r="G24" s="33"/>
      <c r="H24" s="33"/>
      <c r="I24" s="33"/>
      <c r="J24" s="33"/>
      <c r="K24" s="33"/>
      <c r="L24" s="28" t="s">
        <v>771</v>
      </c>
    </row>
    <row r="25" spans="1:12">
      <c r="A25" s="28">
        <v>23</v>
      </c>
      <c r="B25" s="28" t="str">
        <f t="shared" si="0"/>
        <v>0x0017</v>
      </c>
      <c r="C25" s="28"/>
      <c r="D25" s="28" t="s">
        <v>772</v>
      </c>
      <c r="E25" s="33"/>
      <c r="F25" s="33"/>
      <c r="G25" s="33"/>
      <c r="H25" s="33"/>
      <c r="I25" s="33"/>
      <c r="J25" s="33"/>
      <c r="K25" s="33"/>
      <c r="L25" s="28" t="s">
        <v>773</v>
      </c>
    </row>
    <row r="26" spans="1:12">
      <c r="A26" s="28">
        <v>24</v>
      </c>
      <c r="B26" s="28" t="str">
        <f t="shared" si="0"/>
        <v>0x0018</v>
      </c>
      <c r="C26" s="28" t="s">
        <v>774</v>
      </c>
      <c r="D26" s="28" t="s">
        <v>775</v>
      </c>
      <c r="E26" s="43"/>
      <c r="F26" s="43"/>
      <c r="G26" s="43"/>
      <c r="H26" s="44" t="s">
        <v>776</v>
      </c>
      <c r="I26" s="45"/>
      <c r="J26" s="45"/>
      <c r="K26" s="45"/>
      <c r="L26" s="46"/>
    </row>
    <row r="27" spans="1:12">
      <c r="A27" s="28">
        <v>25</v>
      </c>
      <c r="B27" s="28" t="str">
        <f t="shared" si="0"/>
        <v>0x0019</v>
      </c>
      <c r="C27" s="28"/>
      <c r="D27" s="28" t="s">
        <v>777</v>
      </c>
      <c r="E27" s="33"/>
      <c r="F27" s="33"/>
      <c r="G27" s="33"/>
      <c r="H27" s="35" t="s">
        <v>778</v>
      </c>
      <c r="I27" s="36"/>
      <c r="J27" s="36"/>
      <c r="K27" s="36"/>
      <c r="L27" s="37"/>
    </row>
    <row r="28" spans="1:12">
      <c r="A28" s="28">
        <v>26</v>
      </c>
      <c r="B28" s="28" t="str">
        <f t="shared" si="0"/>
        <v>0x001A</v>
      </c>
      <c r="C28" s="28"/>
      <c r="D28" s="28" t="s">
        <v>779</v>
      </c>
      <c r="E28" s="33"/>
      <c r="F28" s="33"/>
      <c r="G28" s="33"/>
      <c r="H28" s="28" t="s">
        <v>780</v>
      </c>
      <c r="I28" s="33"/>
      <c r="J28" s="35" t="s">
        <v>781</v>
      </c>
      <c r="K28" s="36"/>
      <c r="L28" s="37"/>
    </row>
    <row r="29" spans="1:12">
      <c r="A29" s="28">
        <v>27</v>
      </c>
      <c r="B29" s="28" t="str">
        <f t="shared" si="0"/>
        <v>0x001B</v>
      </c>
      <c r="C29" s="28"/>
      <c r="D29" s="28" t="s">
        <v>782</v>
      </c>
      <c r="E29" s="33"/>
      <c r="F29" s="33"/>
      <c r="G29" s="33"/>
      <c r="H29" s="33"/>
      <c r="I29" s="33"/>
      <c r="J29" s="35" t="s">
        <v>783</v>
      </c>
      <c r="K29" s="36"/>
      <c r="L29" s="37"/>
    </row>
    <row r="30" spans="1:12">
      <c r="A30" s="28">
        <v>28</v>
      </c>
      <c r="B30" s="28" t="str">
        <f t="shared" si="0"/>
        <v>0x001C</v>
      </c>
      <c r="C30" s="28" t="s">
        <v>784</v>
      </c>
      <c r="D30" s="28" t="s">
        <v>785</v>
      </c>
      <c r="E30" s="35" t="s">
        <v>786</v>
      </c>
      <c r="F30" s="36"/>
      <c r="G30" s="36"/>
      <c r="H30" s="36"/>
      <c r="I30" s="36"/>
      <c r="J30" s="36"/>
      <c r="K30" s="36"/>
      <c r="L30" s="37"/>
    </row>
    <row r="31" spans="1:12">
      <c r="A31" s="28">
        <v>29</v>
      </c>
      <c r="B31" s="28" t="str">
        <f t="shared" si="0"/>
        <v>0x001D</v>
      </c>
      <c r="C31" s="28"/>
      <c r="D31" s="28" t="s">
        <v>787</v>
      </c>
      <c r="E31" s="35"/>
      <c r="F31" s="35"/>
      <c r="G31" s="35" t="s">
        <v>788</v>
      </c>
      <c r="H31" s="35" t="s">
        <v>789</v>
      </c>
      <c r="I31" s="35" t="s">
        <v>790</v>
      </c>
      <c r="J31" s="35" t="s">
        <v>791</v>
      </c>
      <c r="K31" s="35" t="s">
        <v>792</v>
      </c>
      <c r="L31" s="35" t="s">
        <v>793</v>
      </c>
    </row>
    <row r="32" spans="1:12">
      <c r="A32" s="28">
        <v>30</v>
      </c>
      <c r="B32" s="28" t="str">
        <f t="shared" si="0"/>
        <v>0x001E</v>
      </c>
      <c r="C32" s="28"/>
      <c r="D32" s="28" t="s">
        <v>794</v>
      </c>
      <c r="E32" s="28" t="s">
        <v>795</v>
      </c>
      <c r="F32" s="35" t="s">
        <v>796</v>
      </c>
      <c r="G32" s="36"/>
      <c r="H32" s="37"/>
      <c r="I32" s="35" t="s">
        <v>797</v>
      </c>
      <c r="J32" s="37"/>
      <c r="K32" s="35" t="s">
        <v>798</v>
      </c>
      <c r="L32" s="37"/>
    </row>
    <row r="33" spans="1:12">
      <c r="A33" s="28">
        <v>31</v>
      </c>
      <c r="B33" s="28" t="str">
        <f t="shared" si="0"/>
        <v>0x001F</v>
      </c>
      <c r="C33" s="47"/>
      <c r="D33" s="47" t="s">
        <v>799</v>
      </c>
      <c r="E33" s="48" t="s">
        <v>800</v>
      </c>
      <c r="F33" s="49"/>
      <c r="G33" s="42" t="s">
        <v>801</v>
      </c>
      <c r="H33" s="50"/>
      <c r="I33" s="47" t="s">
        <v>802</v>
      </c>
      <c r="J33" s="47" t="s">
        <v>803</v>
      </c>
      <c r="K33" s="42" t="s">
        <v>804</v>
      </c>
      <c r="L33" s="42" t="s">
        <v>805</v>
      </c>
    </row>
    <row r="34" spans="1:12">
      <c r="A34" s="28">
        <v>32</v>
      </c>
      <c r="B34" s="28" t="str">
        <f t="shared" si="0"/>
        <v>0x0020</v>
      </c>
      <c r="C34" s="28" t="s">
        <v>806</v>
      </c>
      <c r="D34" s="28" t="s">
        <v>807</v>
      </c>
      <c r="E34" s="28" t="s">
        <v>808</v>
      </c>
      <c r="F34" s="34"/>
      <c r="G34" s="34"/>
      <c r="H34" s="34"/>
      <c r="I34" s="34"/>
      <c r="J34" s="34"/>
      <c r="K34" s="34"/>
      <c r="L34" s="34"/>
    </row>
    <row r="35" spans="1:12">
      <c r="A35" s="28">
        <v>33</v>
      </c>
      <c r="B35" s="28" t="str">
        <f t="shared" si="0"/>
        <v>0x0021</v>
      </c>
      <c r="C35" s="28"/>
      <c r="D35" s="28" t="s">
        <v>809</v>
      </c>
      <c r="E35" s="28" t="s">
        <v>810</v>
      </c>
      <c r="F35" s="34"/>
      <c r="G35" s="34"/>
      <c r="H35" s="34"/>
      <c r="I35" s="34"/>
      <c r="J35" s="34"/>
      <c r="K35" s="34"/>
      <c r="L35" s="34"/>
    </row>
    <row r="36" spans="1:12">
      <c r="A36" s="28">
        <v>34</v>
      </c>
      <c r="B36" s="28" t="str">
        <f t="shared" si="0"/>
        <v>0x0022</v>
      </c>
      <c r="C36" s="28"/>
      <c r="D36" s="28" t="s">
        <v>811</v>
      </c>
      <c r="E36" s="34"/>
      <c r="F36" s="34"/>
      <c r="G36" s="34"/>
      <c r="H36" s="28" t="s">
        <v>812</v>
      </c>
      <c r="I36" s="34"/>
      <c r="J36" s="34"/>
      <c r="K36" s="34"/>
      <c r="L36" s="34"/>
    </row>
    <row r="37" spans="1:12">
      <c r="A37" s="28">
        <v>35</v>
      </c>
      <c r="B37" s="28" t="str">
        <f t="shared" si="0"/>
        <v>0x0023</v>
      </c>
      <c r="C37" s="28"/>
      <c r="D37" s="28" t="s">
        <v>813</v>
      </c>
      <c r="E37" s="33"/>
      <c r="F37" s="28" t="s">
        <v>814</v>
      </c>
      <c r="G37" s="34"/>
      <c r="H37" s="34"/>
      <c r="I37" s="34"/>
      <c r="J37" s="34"/>
      <c r="K37" s="34"/>
      <c r="L37" s="34"/>
    </row>
    <row r="38" spans="1:12">
      <c r="A38" s="28">
        <v>36</v>
      </c>
      <c r="B38" s="28" t="str">
        <f t="shared" si="0"/>
        <v>0x0024</v>
      </c>
      <c r="C38" s="28" t="s">
        <v>815</v>
      </c>
      <c r="D38" s="28" t="s">
        <v>816</v>
      </c>
      <c r="E38" s="28" t="s">
        <v>817</v>
      </c>
      <c r="F38" s="34"/>
      <c r="G38" s="34"/>
      <c r="H38" s="34"/>
      <c r="I38" s="34"/>
      <c r="J38" s="34"/>
      <c r="K38" s="34"/>
      <c r="L38" s="34"/>
    </row>
    <row r="39" spans="1:12">
      <c r="A39" s="28">
        <v>37</v>
      </c>
      <c r="B39" s="28" t="str">
        <f t="shared" si="0"/>
        <v>0x0025</v>
      </c>
      <c r="C39" s="28"/>
      <c r="D39" s="28" t="s">
        <v>818</v>
      </c>
      <c r="E39" s="28" t="s">
        <v>819</v>
      </c>
      <c r="F39" s="28"/>
      <c r="G39" s="28"/>
      <c r="H39" s="28"/>
      <c r="I39" s="28"/>
      <c r="J39" s="28"/>
      <c r="K39" s="28"/>
      <c r="L39" s="28"/>
    </row>
    <row r="40" spans="1:12">
      <c r="A40" s="28">
        <v>38</v>
      </c>
      <c r="B40" s="28" t="str">
        <f t="shared" si="0"/>
        <v>0x0026</v>
      </c>
      <c r="C40" s="28"/>
      <c r="D40" s="28" t="s">
        <v>820</v>
      </c>
      <c r="E40" s="34"/>
      <c r="F40" s="34"/>
      <c r="G40" s="34"/>
      <c r="H40" s="34"/>
      <c r="I40" s="34"/>
      <c r="J40" s="28" t="s">
        <v>821</v>
      </c>
      <c r="K40" s="28"/>
      <c r="L40" s="28"/>
    </row>
    <row r="41" spans="1:12">
      <c r="A41" s="28">
        <v>39</v>
      </c>
      <c r="B41" s="28" t="str">
        <f t="shared" si="0"/>
        <v>0x0027</v>
      </c>
      <c r="C41" s="28"/>
      <c r="D41" s="47" t="s">
        <v>822</v>
      </c>
      <c r="E41" s="28" t="s">
        <v>823</v>
      </c>
      <c r="F41" s="34"/>
      <c r="G41" s="34"/>
      <c r="H41" s="34"/>
      <c r="I41" s="34"/>
      <c r="J41" s="34"/>
      <c r="K41" s="34"/>
      <c r="L41" s="34"/>
    </row>
    <row r="42" spans="1:12">
      <c r="A42" s="28">
        <v>40</v>
      </c>
      <c r="B42" s="28" t="str">
        <f t="shared" si="0"/>
        <v>0x0028</v>
      </c>
      <c r="C42" s="28" t="s">
        <v>824</v>
      </c>
      <c r="D42" s="28" t="s">
        <v>825</v>
      </c>
      <c r="E42" s="34"/>
      <c r="F42" s="34"/>
      <c r="G42" s="34"/>
      <c r="H42" s="34"/>
      <c r="I42" s="51"/>
      <c r="J42" s="51"/>
      <c r="K42" s="28" t="s">
        <v>826</v>
      </c>
      <c r="L42" s="34"/>
    </row>
    <row r="43" spans="1:12">
      <c r="A43" s="28">
        <v>41</v>
      </c>
      <c r="B43" s="28" t="str">
        <f t="shared" si="0"/>
        <v>0x0029</v>
      </c>
      <c r="C43" s="28"/>
      <c r="D43" s="28" t="s">
        <v>827</v>
      </c>
      <c r="E43" s="38" t="s">
        <v>828</v>
      </c>
      <c r="F43" s="39"/>
      <c r="G43" s="39"/>
      <c r="H43" s="40"/>
      <c r="I43" s="35" t="s">
        <v>829</v>
      </c>
      <c r="J43" s="35" t="s">
        <v>830</v>
      </c>
      <c r="K43" s="35" t="s">
        <v>831</v>
      </c>
      <c r="L43" s="35" t="s">
        <v>832</v>
      </c>
    </row>
    <row r="44" spans="1:12">
      <c r="A44" s="28">
        <v>42</v>
      </c>
      <c r="B44" s="28" t="str">
        <f t="shared" si="0"/>
        <v>0x002A</v>
      </c>
      <c r="C44" s="28"/>
      <c r="D44" s="28" t="s">
        <v>833</v>
      </c>
      <c r="E44" s="34"/>
      <c r="F44" s="35" t="s">
        <v>834</v>
      </c>
      <c r="G44" s="36"/>
      <c r="H44" s="36"/>
      <c r="I44" s="52"/>
      <c r="J44" s="52"/>
      <c r="K44" s="52"/>
      <c r="L44" s="50"/>
    </row>
    <row r="45" spans="1:12">
      <c r="A45" s="28">
        <v>43</v>
      </c>
      <c r="B45" s="28" t="str">
        <f t="shared" si="0"/>
        <v>0x002B</v>
      </c>
      <c r="C45" s="28"/>
      <c r="D45" s="28" t="s">
        <v>835</v>
      </c>
      <c r="E45" s="34"/>
      <c r="F45" s="34"/>
      <c r="G45" s="34"/>
      <c r="H45" s="53"/>
      <c r="I45" s="34"/>
      <c r="J45" s="34"/>
      <c r="K45" s="34"/>
      <c r="L45" s="30" t="s">
        <v>836</v>
      </c>
    </row>
    <row r="46" spans="1:12">
      <c r="A46" s="28">
        <v>44</v>
      </c>
      <c r="B46" s="28" t="str">
        <f t="shared" si="0"/>
        <v>0x002C</v>
      </c>
      <c r="C46" s="54" t="s">
        <v>837</v>
      </c>
      <c r="D46" s="54" t="s">
        <v>838</v>
      </c>
      <c r="E46" s="44" t="s">
        <v>839</v>
      </c>
      <c r="F46" s="45"/>
      <c r="G46" s="45"/>
      <c r="H46" s="45"/>
      <c r="I46" s="33"/>
      <c r="J46" s="33"/>
      <c r="K46" s="33"/>
      <c r="L46" s="28" t="s">
        <v>840</v>
      </c>
    </row>
    <row r="47" spans="1:12">
      <c r="A47" s="28">
        <v>45</v>
      </c>
      <c r="B47" s="28" t="str">
        <f t="shared" si="0"/>
        <v>0x002D</v>
      </c>
      <c r="C47" s="28"/>
      <c r="D47" s="28" t="s">
        <v>841</v>
      </c>
      <c r="E47" s="33"/>
      <c r="F47" s="33"/>
      <c r="G47" s="33"/>
      <c r="H47" s="33"/>
      <c r="I47" s="43"/>
      <c r="J47" s="43"/>
      <c r="K47" s="43"/>
      <c r="L47" s="44" t="s">
        <v>842</v>
      </c>
    </row>
    <row r="48" spans="1:12">
      <c r="A48" s="28">
        <v>46</v>
      </c>
      <c r="B48" s="28" t="str">
        <f t="shared" si="0"/>
        <v>0x002E</v>
      </c>
      <c r="C48" s="28"/>
      <c r="D48" s="28" t="s">
        <v>843</v>
      </c>
      <c r="E48" s="35" t="s">
        <v>844</v>
      </c>
      <c r="F48" s="36"/>
      <c r="G48" s="36"/>
      <c r="H48" s="37"/>
      <c r="I48" s="33"/>
      <c r="J48" s="33"/>
      <c r="K48" s="33"/>
      <c r="L48" s="35" t="s">
        <v>845</v>
      </c>
    </row>
    <row r="49" spans="1:12">
      <c r="A49" s="28">
        <v>47</v>
      </c>
      <c r="B49" s="28" t="str">
        <f t="shared" si="0"/>
        <v>0x002F</v>
      </c>
      <c r="C49" s="28"/>
      <c r="D49" s="28" t="s">
        <v>846</v>
      </c>
      <c r="E49" s="33"/>
      <c r="F49" s="33"/>
      <c r="G49" s="33"/>
      <c r="H49" s="33"/>
      <c r="I49" s="33"/>
      <c r="J49" s="33"/>
      <c r="K49" s="33"/>
      <c r="L49" s="35" t="s">
        <v>847</v>
      </c>
    </row>
    <row r="50" spans="1:12">
      <c r="A50" s="28">
        <v>48</v>
      </c>
      <c r="B50" s="28" t="str">
        <f t="shared" si="0"/>
        <v>0x0030</v>
      </c>
      <c r="C50" s="28" t="s">
        <v>848</v>
      </c>
      <c r="D50" s="28" t="s">
        <v>849</v>
      </c>
      <c r="E50" s="33"/>
      <c r="F50" s="35" t="s">
        <v>850</v>
      </c>
      <c r="G50" s="33"/>
      <c r="H50" s="33"/>
      <c r="I50" s="35" t="s">
        <v>851</v>
      </c>
      <c r="J50" s="33"/>
      <c r="K50" s="35" t="s">
        <v>852</v>
      </c>
      <c r="L50" s="35"/>
    </row>
    <row r="51" spans="1:12">
      <c r="A51" s="28">
        <v>49</v>
      </c>
      <c r="B51" s="28" t="str">
        <f t="shared" si="0"/>
        <v>0x0031</v>
      </c>
      <c r="C51" s="28"/>
      <c r="D51" s="28" t="s">
        <v>853</v>
      </c>
      <c r="E51" s="33"/>
      <c r="F51" s="33"/>
      <c r="G51" s="35" t="s">
        <v>854</v>
      </c>
      <c r="H51" s="36"/>
      <c r="I51" s="36"/>
      <c r="J51" s="36"/>
      <c r="K51" s="36"/>
      <c r="L51" s="37"/>
    </row>
    <row r="52" spans="1:12">
      <c r="A52" s="28">
        <v>50</v>
      </c>
      <c r="B52" s="28" t="str">
        <f t="shared" si="0"/>
        <v>0x0032</v>
      </c>
      <c r="C52" s="28"/>
      <c r="D52" s="28" t="s">
        <v>855</v>
      </c>
      <c r="E52" s="33"/>
      <c r="F52" s="55"/>
      <c r="G52" s="33"/>
      <c r="H52" s="35" t="s">
        <v>856</v>
      </c>
      <c r="I52" s="36"/>
      <c r="J52" s="36"/>
      <c r="K52" s="36"/>
      <c r="L52" s="37"/>
    </row>
    <row r="53" spans="1:12">
      <c r="A53" s="28">
        <v>51</v>
      </c>
      <c r="B53" s="28" t="str">
        <f t="shared" si="0"/>
        <v>0x0033</v>
      </c>
      <c r="C53" s="28"/>
      <c r="D53" s="28" t="s">
        <v>857</v>
      </c>
      <c r="E53" s="34"/>
      <c r="F53" s="55"/>
      <c r="G53" s="33"/>
      <c r="H53" s="35" t="s">
        <v>858</v>
      </c>
      <c r="I53" s="36"/>
      <c r="J53" s="36"/>
      <c r="K53" s="36"/>
      <c r="L53" s="37"/>
    </row>
    <row r="54" spans="1:12">
      <c r="A54" s="28">
        <v>52</v>
      </c>
      <c r="B54" s="28" t="str">
        <f t="shared" si="0"/>
        <v>0x0034</v>
      </c>
      <c r="C54" s="28" t="s">
        <v>859</v>
      </c>
      <c r="D54" s="28" t="s">
        <v>860</v>
      </c>
      <c r="E54" s="34"/>
      <c r="F54" s="56"/>
      <c r="G54" s="56"/>
      <c r="H54" s="57"/>
      <c r="I54" s="33"/>
      <c r="J54" s="33"/>
      <c r="K54" s="35" t="s">
        <v>861</v>
      </c>
      <c r="L54" s="35" t="s">
        <v>862</v>
      </c>
    </row>
    <row r="55" spans="1:12">
      <c r="A55" s="28">
        <v>53</v>
      </c>
      <c r="B55" s="28" t="str">
        <f t="shared" si="0"/>
        <v>0x0035</v>
      </c>
      <c r="C55" s="28"/>
      <c r="D55" s="28" t="s">
        <v>863</v>
      </c>
      <c r="E55" s="33"/>
      <c r="F55" s="55"/>
      <c r="G55" s="33"/>
      <c r="H55" s="35"/>
      <c r="I55" s="36"/>
      <c r="J55" s="36"/>
      <c r="K55" s="36"/>
      <c r="L55" s="37"/>
    </row>
    <row r="56" spans="1:12">
      <c r="A56" s="28">
        <v>54</v>
      </c>
      <c r="B56" s="28" t="str">
        <f t="shared" si="0"/>
        <v>0x0036</v>
      </c>
      <c r="C56" s="28"/>
      <c r="D56" s="28" t="s">
        <v>864</v>
      </c>
      <c r="E56" s="33"/>
      <c r="F56" s="33"/>
      <c r="G56" s="33"/>
      <c r="H56" s="35"/>
      <c r="I56" s="36"/>
      <c r="J56" s="36"/>
      <c r="K56" s="36"/>
      <c r="L56" s="37"/>
    </row>
    <row r="57" spans="1:12">
      <c r="A57" s="28">
        <v>55</v>
      </c>
      <c r="B57" s="28" t="str">
        <f t="shared" si="0"/>
        <v>0x0037</v>
      </c>
      <c r="C57" s="28"/>
      <c r="D57" s="28" t="s">
        <v>865</v>
      </c>
      <c r="E57" s="35" t="s">
        <v>866</v>
      </c>
      <c r="F57" s="51"/>
      <c r="G57" s="33"/>
      <c r="H57" s="35" t="s">
        <v>867</v>
      </c>
      <c r="I57" s="36"/>
      <c r="J57" s="36"/>
      <c r="K57" s="36"/>
      <c r="L57" s="37"/>
    </row>
    <row r="58" spans="1:12">
      <c r="A58" s="28">
        <v>56</v>
      </c>
      <c r="B58" s="28" t="str">
        <f t="shared" si="0"/>
        <v>0x0038</v>
      </c>
      <c r="C58" s="28" t="s">
        <v>868</v>
      </c>
      <c r="D58" s="28" t="s">
        <v>869</v>
      </c>
      <c r="E58" s="35" t="s">
        <v>870</v>
      </c>
      <c r="F58" s="36"/>
      <c r="G58" s="36"/>
      <c r="H58" s="36"/>
      <c r="I58" s="36"/>
      <c r="J58" s="36"/>
      <c r="K58" s="36"/>
      <c r="L58" s="37"/>
    </row>
    <row r="59" spans="1:12">
      <c r="A59" s="28">
        <v>57</v>
      </c>
      <c r="B59" s="28" t="str">
        <f t="shared" si="0"/>
        <v>0x0039</v>
      </c>
      <c r="C59" s="28"/>
      <c r="D59" s="28" t="s">
        <v>871</v>
      </c>
      <c r="E59" s="35" t="s">
        <v>872</v>
      </c>
      <c r="F59" s="36"/>
      <c r="G59" s="36"/>
      <c r="H59" s="36"/>
      <c r="I59" s="36"/>
      <c r="J59" s="36"/>
      <c r="K59" s="36"/>
      <c r="L59" s="37"/>
    </row>
    <row r="60" spans="1:12">
      <c r="A60" s="28">
        <v>58</v>
      </c>
      <c r="B60" s="28" t="str">
        <f t="shared" si="0"/>
        <v>0x003A</v>
      </c>
      <c r="C60" s="28"/>
      <c r="D60" s="28" t="s">
        <v>873</v>
      </c>
      <c r="E60" s="35" t="s">
        <v>874</v>
      </c>
      <c r="F60" s="36"/>
      <c r="G60" s="36"/>
      <c r="H60" s="36"/>
      <c r="I60" s="36"/>
      <c r="J60" s="36"/>
      <c r="K60" s="36"/>
      <c r="L60" s="37"/>
    </row>
    <row r="61" spans="1:12">
      <c r="A61" s="28">
        <v>59</v>
      </c>
      <c r="B61" s="28" t="str">
        <f t="shared" si="0"/>
        <v>0x003B</v>
      </c>
      <c r="C61" s="47"/>
      <c r="D61" s="47" t="s">
        <v>875</v>
      </c>
      <c r="E61" s="42" t="s">
        <v>876</v>
      </c>
      <c r="F61" s="52"/>
      <c r="G61" s="52"/>
      <c r="H61" s="52"/>
      <c r="I61" s="52"/>
      <c r="J61" s="52"/>
      <c r="K61" s="52"/>
      <c r="L61" s="50"/>
    </row>
    <row r="62" spans="1:12">
      <c r="A62" s="28">
        <v>60</v>
      </c>
      <c r="B62" s="28" t="str">
        <f t="shared" si="0"/>
        <v>0x003C</v>
      </c>
      <c r="C62" s="28"/>
      <c r="D62" s="28"/>
      <c r="E62" s="34"/>
      <c r="F62" s="34"/>
      <c r="G62" s="34"/>
      <c r="H62" s="34"/>
      <c r="I62" s="34"/>
      <c r="J62" s="34"/>
      <c r="K62" s="28"/>
      <c r="L62" s="28"/>
    </row>
    <row r="63" spans="1:12">
      <c r="A63" s="28">
        <v>61</v>
      </c>
      <c r="B63" s="28" t="str">
        <f t="shared" si="0"/>
        <v>0x003D</v>
      </c>
      <c r="C63" s="28"/>
      <c r="D63" s="28"/>
      <c r="E63" s="34"/>
      <c r="F63" s="34"/>
      <c r="G63" s="34"/>
      <c r="H63" s="34"/>
      <c r="I63" s="34"/>
      <c r="J63" s="34"/>
      <c r="K63" s="34"/>
      <c r="L63" s="28"/>
    </row>
    <row r="64" spans="1:12">
      <c r="A64" s="28">
        <v>62</v>
      </c>
      <c r="B64" s="28" t="str">
        <f t="shared" si="0"/>
        <v>0x003E</v>
      </c>
      <c r="C64" s="28"/>
      <c r="D64" s="28"/>
      <c r="E64" s="34"/>
      <c r="F64" s="34"/>
      <c r="G64" s="34"/>
      <c r="H64" s="34"/>
      <c r="I64" s="34"/>
      <c r="J64" s="34"/>
      <c r="K64" s="34"/>
      <c r="L64" s="34"/>
    </row>
    <row r="65" spans="1:12">
      <c r="A65" s="28">
        <v>63</v>
      </c>
      <c r="B65" s="28" t="str">
        <f t="shared" si="0"/>
        <v>0x003F</v>
      </c>
      <c r="C65" s="28"/>
      <c r="D65" s="28"/>
      <c r="E65" s="34"/>
      <c r="F65" s="34"/>
      <c r="G65" s="34"/>
      <c r="H65" s="34"/>
      <c r="I65" s="34"/>
      <c r="J65" s="34"/>
      <c r="K65" s="34"/>
      <c r="L65" s="34"/>
    </row>
    <row r="66" spans="1:12">
      <c r="A66" s="28">
        <v>64</v>
      </c>
      <c r="B66" s="28" t="str">
        <f t="shared" si="0"/>
        <v>0x0040</v>
      </c>
      <c r="C66" s="28" t="s">
        <v>877</v>
      </c>
      <c r="D66" s="28" t="s">
        <v>878</v>
      </c>
      <c r="E66" s="34"/>
      <c r="F66" s="34"/>
      <c r="G66" s="34"/>
      <c r="H66" s="34"/>
      <c r="I66" s="34"/>
      <c r="J66" s="58"/>
      <c r="K66" s="58"/>
      <c r="L66" s="28" t="s">
        <v>879</v>
      </c>
    </row>
    <row r="67" spans="1:12">
      <c r="A67" s="28">
        <v>65</v>
      </c>
      <c r="B67" s="28" t="str">
        <f t="shared" ref="B67:B130" si="1">CONCATENATE("0x",DEC2HEX(A67,4))</f>
        <v>0x0041</v>
      </c>
      <c r="C67" s="28"/>
      <c r="D67" s="28" t="s">
        <v>880</v>
      </c>
      <c r="E67" s="34"/>
      <c r="F67" s="34"/>
      <c r="G67" s="34"/>
      <c r="H67" s="34"/>
      <c r="I67" s="34"/>
      <c r="J67" s="58"/>
      <c r="K67" s="58"/>
      <c r="L67" s="28" t="s">
        <v>881</v>
      </c>
    </row>
    <row r="68" spans="1:12">
      <c r="A68" s="28">
        <v>66</v>
      </c>
      <c r="B68" s="28" t="str">
        <f t="shared" si="1"/>
        <v>0x0042</v>
      </c>
      <c r="C68" s="28"/>
      <c r="D68" s="28" t="s">
        <v>882</v>
      </c>
      <c r="E68" s="34"/>
      <c r="F68" s="34"/>
      <c r="G68" s="34"/>
      <c r="H68" s="29" t="s">
        <v>883</v>
      </c>
      <c r="I68" s="31"/>
      <c r="J68" s="32"/>
      <c r="K68" s="28" t="s">
        <v>884</v>
      </c>
      <c r="L68" s="34"/>
    </row>
    <row r="69" spans="1:12">
      <c r="A69" s="28">
        <v>67</v>
      </c>
      <c r="B69" s="28" t="str">
        <f t="shared" si="1"/>
        <v>0x0043</v>
      </c>
      <c r="C69" s="28"/>
      <c r="D69" s="28" t="s">
        <v>885</v>
      </c>
      <c r="E69" s="34"/>
      <c r="F69" s="34"/>
      <c r="G69" s="34"/>
      <c r="H69" s="34"/>
      <c r="I69" s="34"/>
      <c r="J69" s="34"/>
      <c r="K69" s="30" t="s">
        <v>886</v>
      </c>
      <c r="L69" s="28" t="s">
        <v>887</v>
      </c>
    </row>
    <row r="70" spans="1:12">
      <c r="A70" s="28">
        <v>68</v>
      </c>
      <c r="B70" s="28" t="str">
        <f t="shared" si="1"/>
        <v>0x0044</v>
      </c>
      <c r="C70" s="28" t="s">
        <v>888</v>
      </c>
      <c r="D70" s="28" t="s">
        <v>889</v>
      </c>
      <c r="E70" s="34"/>
      <c r="F70" s="34"/>
      <c r="G70" s="34"/>
      <c r="H70" s="34"/>
      <c r="I70" s="34"/>
      <c r="J70" s="28" t="s">
        <v>890</v>
      </c>
      <c r="K70" s="34"/>
      <c r="L70" s="34"/>
    </row>
    <row r="71" spans="1:12">
      <c r="A71" s="28">
        <v>69</v>
      </c>
      <c r="B71" s="28" t="str">
        <f t="shared" si="1"/>
        <v>0x0045</v>
      </c>
      <c r="C71" s="28"/>
      <c r="D71" s="28" t="s">
        <v>891</v>
      </c>
      <c r="E71" s="34"/>
      <c r="F71" s="34"/>
      <c r="G71" s="34"/>
      <c r="H71" s="34"/>
      <c r="I71" s="34"/>
      <c r="J71" s="34"/>
      <c r="K71" s="28" t="s">
        <v>892</v>
      </c>
      <c r="L71" s="34"/>
    </row>
    <row r="72" spans="1:12">
      <c r="A72" s="28">
        <v>70</v>
      </c>
      <c r="B72" s="28" t="str">
        <f t="shared" si="1"/>
        <v>0x0046</v>
      </c>
      <c r="C72" s="28"/>
      <c r="D72" s="28" t="s">
        <v>893</v>
      </c>
      <c r="E72" s="34"/>
      <c r="F72" s="34"/>
      <c r="G72" s="34"/>
      <c r="H72" s="34"/>
      <c r="I72" s="34"/>
      <c r="J72" s="34"/>
      <c r="K72" s="34"/>
      <c r="L72" s="28" t="s">
        <v>894</v>
      </c>
    </row>
    <row r="73" spans="1:12">
      <c r="A73" s="28">
        <v>71</v>
      </c>
      <c r="B73" s="28" t="str">
        <f t="shared" si="1"/>
        <v>0x0047</v>
      </c>
      <c r="C73" s="28"/>
      <c r="D73" s="28" t="s">
        <v>895</v>
      </c>
      <c r="E73" s="34"/>
      <c r="F73" s="34"/>
      <c r="G73" s="59"/>
      <c r="H73" s="59"/>
      <c r="I73" s="59"/>
      <c r="J73" s="42" t="s">
        <v>896</v>
      </c>
      <c r="K73" s="50"/>
      <c r="L73" s="42" t="s">
        <v>897</v>
      </c>
    </row>
    <row r="74" spans="1:12">
      <c r="A74" s="28">
        <v>72</v>
      </c>
      <c r="B74" s="28" t="str">
        <f t="shared" si="1"/>
        <v>0x0048</v>
      </c>
      <c r="C74" s="28" t="s">
        <v>898</v>
      </c>
      <c r="D74" s="28" t="s">
        <v>899</v>
      </c>
      <c r="E74" s="34"/>
      <c r="F74" s="34"/>
      <c r="G74" s="28" t="s">
        <v>900</v>
      </c>
      <c r="H74" s="28"/>
      <c r="I74" s="28"/>
      <c r="J74" s="28"/>
      <c r="K74" s="28"/>
      <c r="L74" s="28"/>
    </row>
    <row r="75" spans="1:12">
      <c r="A75" s="28">
        <v>73</v>
      </c>
      <c r="B75" s="28" t="str">
        <f t="shared" si="1"/>
        <v>0x0049</v>
      </c>
      <c r="C75" s="28"/>
      <c r="D75" s="28" t="s">
        <v>901</v>
      </c>
      <c r="E75" s="34"/>
      <c r="F75" s="34"/>
      <c r="G75" s="28" t="s">
        <v>902</v>
      </c>
      <c r="H75" s="28"/>
      <c r="I75" s="28"/>
      <c r="J75" s="28"/>
      <c r="K75" s="28"/>
      <c r="L75" s="28"/>
    </row>
    <row r="76" spans="1:12">
      <c r="A76" s="28">
        <v>74</v>
      </c>
      <c r="B76" s="28" t="str">
        <f t="shared" si="1"/>
        <v>0x004A</v>
      </c>
      <c r="C76" s="28"/>
      <c r="D76" s="28" t="s">
        <v>903</v>
      </c>
      <c r="E76" s="34"/>
      <c r="F76" s="35" t="s">
        <v>904</v>
      </c>
      <c r="G76" s="45"/>
      <c r="H76" s="46"/>
      <c r="I76" s="60"/>
      <c r="J76" s="44" t="s">
        <v>905</v>
      </c>
      <c r="K76" s="44" t="s">
        <v>906</v>
      </c>
      <c r="L76" s="44" t="s">
        <v>907</v>
      </c>
    </row>
    <row r="77" spans="1:12">
      <c r="A77" s="28">
        <v>75</v>
      </c>
      <c r="B77" s="28" t="str">
        <f t="shared" si="1"/>
        <v>0x004B</v>
      </c>
      <c r="C77" s="28"/>
      <c r="D77" s="28" t="s">
        <v>908</v>
      </c>
      <c r="E77" s="34"/>
      <c r="F77" s="34"/>
      <c r="G77" s="34"/>
      <c r="H77" s="34"/>
      <c r="I77" s="34"/>
      <c r="J77" s="34"/>
      <c r="K77" s="34"/>
      <c r="L77" s="34"/>
    </row>
    <row r="78" spans="1:12">
      <c r="A78" s="28">
        <v>76</v>
      </c>
      <c r="B78" s="28" t="str">
        <f t="shared" si="1"/>
        <v>0x004C</v>
      </c>
      <c r="C78" s="28" t="s">
        <v>909</v>
      </c>
      <c r="D78" s="28" t="s">
        <v>910</v>
      </c>
      <c r="E78" s="28" t="s">
        <v>911</v>
      </c>
      <c r="F78" s="34"/>
      <c r="G78" s="34"/>
      <c r="H78" s="34"/>
      <c r="I78" s="34"/>
      <c r="J78" s="34"/>
      <c r="K78" s="34"/>
      <c r="L78" s="34"/>
    </row>
    <row r="79" spans="1:12">
      <c r="A79" s="28">
        <v>77</v>
      </c>
      <c r="B79" s="28" t="str">
        <f t="shared" si="1"/>
        <v>0x004D</v>
      </c>
      <c r="C79" s="28"/>
      <c r="D79" s="28" t="s">
        <v>912</v>
      </c>
      <c r="E79" s="34"/>
      <c r="F79" s="34"/>
      <c r="G79" s="34"/>
      <c r="H79" s="34"/>
      <c r="I79" s="28" t="s">
        <v>913</v>
      </c>
      <c r="J79" s="34"/>
      <c r="K79" s="34"/>
      <c r="L79" s="34"/>
    </row>
    <row r="80" spans="1:12">
      <c r="A80" s="28">
        <v>78</v>
      </c>
      <c r="B80" s="28" t="str">
        <f t="shared" si="1"/>
        <v>0x004E</v>
      </c>
      <c r="C80" s="28"/>
      <c r="D80" s="28" t="s">
        <v>914</v>
      </c>
      <c r="E80" s="34"/>
      <c r="F80" s="34"/>
      <c r="G80" s="34"/>
      <c r="H80" s="34"/>
      <c r="I80" s="34"/>
      <c r="J80" s="34"/>
      <c r="K80" s="34"/>
      <c r="L80" s="28" t="s">
        <v>915</v>
      </c>
    </row>
    <row r="81" spans="1:12">
      <c r="A81" s="28">
        <v>79</v>
      </c>
      <c r="B81" s="28" t="str">
        <f t="shared" si="1"/>
        <v>0x004F</v>
      </c>
      <c r="C81" s="28"/>
      <c r="D81" s="28" t="s">
        <v>916</v>
      </c>
      <c r="E81" s="34"/>
      <c r="F81" s="34"/>
      <c r="G81" s="34"/>
      <c r="H81" s="34"/>
      <c r="I81" s="34"/>
      <c r="J81" s="34"/>
      <c r="K81" s="34"/>
      <c r="L81" s="30" t="s">
        <v>917</v>
      </c>
    </row>
    <row r="82" spans="1:12">
      <c r="A82" s="28">
        <v>80</v>
      </c>
      <c r="B82" s="28" t="str">
        <f t="shared" si="1"/>
        <v>0x0050</v>
      </c>
      <c r="C82" s="28" t="s">
        <v>918</v>
      </c>
      <c r="D82" s="28" t="s">
        <v>919</v>
      </c>
      <c r="E82" s="28" t="s">
        <v>920</v>
      </c>
      <c r="F82" s="34"/>
      <c r="G82" s="34"/>
      <c r="H82" s="34"/>
      <c r="I82" s="34"/>
      <c r="J82" s="34"/>
      <c r="K82" s="34"/>
      <c r="L82" s="34"/>
    </row>
    <row r="83" spans="1:12">
      <c r="A83" s="28">
        <v>81</v>
      </c>
      <c r="B83" s="28" t="str">
        <f t="shared" si="1"/>
        <v>0x0051</v>
      </c>
      <c r="C83" s="28"/>
      <c r="D83" s="28" t="s">
        <v>921</v>
      </c>
      <c r="E83" s="34"/>
      <c r="F83" s="34"/>
      <c r="G83" s="34"/>
      <c r="H83" s="34"/>
      <c r="I83" s="34"/>
      <c r="J83" s="34"/>
      <c r="K83" s="29" t="s">
        <v>922</v>
      </c>
      <c r="L83" s="31"/>
    </row>
    <row r="84" spans="1:12">
      <c r="A84" s="28">
        <v>82</v>
      </c>
      <c r="B84" s="28" t="str">
        <f t="shared" si="1"/>
        <v>0x0052</v>
      </c>
      <c r="C84" s="28"/>
      <c r="D84" s="28" t="s">
        <v>923</v>
      </c>
      <c r="E84" s="34"/>
      <c r="F84" s="34"/>
      <c r="G84" s="28" t="s">
        <v>924</v>
      </c>
      <c r="H84" s="34"/>
      <c r="I84" s="28" t="s">
        <v>925</v>
      </c>
      <c r="J84" s="34"/>
      <c r="K84" s="34"/>
      <c r="L84" s="34"/>
    </row>
    <row r="85" spans="1:12">
      <c r="A85" s="28">
        <v>83</v>
      </c>
      <c r="B85" s="28" t="str">
        <f t="shared" si="1"/>
        <v>0x0053</v>
      </c>
      <c r="C85" s="28"/>
      <c r="D85" s="28" t="s">
        <v>926</v>
      </c>
      <c r="E85" s="38" t="s">
        <v>927</v>
      </c>
      <c r="F85" s="39"/>
      <c r="G85" s="39"/>
      <c r="H85" s="40"/>
      <c r="I85" s="34"/>
      <c r="J85" s="34"/>
      <c r="K85" s="34"/>
      <c r="L85" s="28" t="s">
        <v>928</v>
      </c>
    </row>
    <row r="86" spans="1:12">
      <c r="A86" s="28">
        <v>84</v>
      </c>
      <c r="B86" s="28" t="str">
        <f t="shared" si="1"/>
        <v>0x0054</v>
      </c>
      <c r="C86" s="47" t="s">
        <v>929</v>
      </c>
      <c r="D86" s="28" t="s">
        <v>930</v>
      </c>
      <c r="E86" s="34"/>
      <c r="F86" s="34"/>
      <c r="G86" s="34"/>
      <c r="H86" s="34"/>
      <c r="I86" s="61" t="s">
        <v>931</v>
      </c>
      <c r="J86" s="62"/>
      <c r="K86" s="62"/>
      <c r="L86" s="63"/>
    </row>
    <row r="87" spans="1:12">
      <c r="A87" s="28">
        <v>85</v>
      </c>
      <c r="B87" s="28" t="str">
        <f t="shared" si="1"/>
        <v>0x0055</v>
      </c>
      <c r="C87" s="64"/>
      <c r="D87" s="28" t="s">
        <v>932</v>
      </c>
      <c r="E87" s="34"/>
      <c r="F87" s="34"/>
      <c r="G87" s="34"/>
      <c r="H87" s="61" t="s">
        <v>933</v>
      </c>
      <c r="I87" s="62"/>
      <c r="J87" s="62"/>
      <c r="K87" s="62"/>
      <c r="L87" s="63"/>
    </row>
    <row r="88" spans="1:12">
      <c r="A88" s="28">
        <v>86</v>
      </c>
      <c r="B88" s="28" t="str">
        <f t="shared" si="1"/>
        <v>0x0056</v>
      </c>
      <c r="C88" s="64"/>
      <c r="D88" s="28" t="s">
        <v>934</v>
      </c>
      <c r="E88" s="61" t="s">
        <v>935</v>
      </c>
      <c r="F88" s="62"/>
      <c r="G88" s="62"/>
      <c r="H88" s="62"/>
      <c r="I88" s="62"/>
      <c r="J88" s="62"/>
      <c r="K88" s="62"/>
      <c r="L88" s="63"/>
    </row>
    <row r="89" spans="1:12">
      <c r="A89" s="28">
        <v>87</v>
      </c>
      <c r="B89" s="28" t="str">
        <f t="shared" si="1"/>
        <v>0x0057</v>
      </c>
      <c r="C89" s="54"/>
      <c r="D89" s="28" t="s">
        <v>936</v>
      </c>
      <c r="E89" s="34"/>
      <c r="F89" s="34"/>
      <c r="G89" s="34"/>
      <c r="H89" s="34"/>
      <c r="I89" s="34"/>
      <c r="J89" s="28"/>
      <c r="K89" s="34"/>
      <c r="L89" s="28"/>
    </row>
    <row r="90" spans="1:12">
      <c r="A90" s="28">
        <v>88</v>
      </c>
      <c r="B90" s="28" t="str">
        <f t="shared" si="1"/>
        <v>0x0058</v>
      </c>
      <c r="C90" s="47" t="s">
        <v>937</v>
      </c>
      <c r="D90" s="28" t="s">
        <v>938</v>
      </c>
      <c r="E90" s="61" t="s">
        <v>939</v>
      </c>
      <c r="F90" s="62"/>
      <c r="G90" s="62"/>
      <c r="H90" s="62"/>
      <c r="I90" s="62"/>
      <c r="J90" s="62"/>
      <c r="K90" s="62"/>
      <c r="L90" s="63"/>
    </row>
    <row r="91" spans="1:12">
      <c r="A91" s="28">
        <v>89</v>
      </c>
      <c r="B91" s="28" t="str">
        <f t="shared" si="1"/>
        <v>0x0059</v>
      </c>
      <c r="C91" s="64"/>
      <c r="D91" s="28" t="s">
        <v>940</v>
      </c>
      <c r="E91" s="61" t="s">
        <v>941</v>
      </c>
      <c r="F91" s="62"/>
      <c r="G91" s="62"/>
      <c r="H91" s="62"/>
      <c r="I91" s="62"/>
      <c r="J91" s="62"/>
      <c r="K91" s="62"/>
      <c r="L91" s="63"/>
    </row>
    <row r="92" spans="1:12">
      <c r="A92" s="28">
        <v>90</v>
      </c>
      <c r="B92" s="28" t="str">
        <f t="shared" si="1"/>
        <v>0x005A</v>
      </c>
      <c r="C92" s="64"/>
      <c r="D92" s="28" t="s">
        <v>942</v>
      </c>
      <c r="E92" s="61" t="s">
        <v>943</v>
      </c>
      <c r="F92" s="62"/>
      <c r="G92" s="62"/>
      <c r="H92" s="62"/>
      <c r="I92" s="62"/>
      <c r="J92" s="62"/>
      <c r="K92" s="62"/>
      <c r="L92" s="63"/>
    </row>
    <row r="93" spans="1:12">
      <c r="A93" s="28">
        <v>91</v>
      </c>
      <c r="B93" s="28" t="str">
        <f t="shared" si="1"/>
        <v>0x005B</v>
      </c>
      <c r="C93" s="54"/>
      <c r="D93" s="28" t="s">
        <v>944</v>
      </c>
      <c r="E93" s="61" t="s">
        <v>945</v>
      </c>
      <c r="F93" s="62"/>
      <c r="G93" s="62"/>
      <c r="H93" s="62"/>
      <c r="I93" s="62"/>
      <c r="J93" s="62"/>
      <c r="K93" s="62"/>
      <c r="L93" s="63"/>
    </row>
    <row r="94" spans="1:12">
      <c r="A94" s="28">
        <v>92</v>
      </c>
      <c r="B94" s="28" t="str">
        <f t="shared" si="1"/>
        <v>0x005C</v>
      </c>
      <c r="C94" s="28" t="s">
        <v>946</v>
      </c>
      <c r="D94" s="28" t="s">
        <v>947</v>
      </c>
      <c r="E94" s="34"/>
      <c r="F94" s="34"/>
      <c r="G94" s="34"/>
      <c r="H94" s="34"/>
      <c r="I94" s="34"/>
      <c r="J94" s="34"/>
      <c r="K94" s="34"/>
      <c r="L94" s="34"/>
    </row>
    <row r="95" spans="1:12">
      <c r="A95" s="28">
        <v>93</v>
      </c>
      <c r="B95" s="28" t="str">
        <f t="shared" si="1"/>
        <v>0x005D</v>
      </c>
      <c r="C95" s="28"/>
      <c r="D95" s="28" t="s">
        <v>948</v>
      </c>
      <c r="E95" s="34"/>
      <c r="F95" s="34"/>
      <c r="G95" s="34"/>
      <c r="H95" s="34"/>
      <c r="I95" s="34"/>
      <c r="J95" s="34"/>
      <c r="K95" s="34"/>
      <c r="L95" s="34"/>
    </row>
    <row r="96" spans="1:12">
      <c r="A96" s="28">
        <v>94</v>
      </c>
      <c r="B96" s="28" t="str">
        <f t="shared" si="1"/>
        <v>0x005E</v>
      </c>
      <c r="C96" s="28"/>
      <c r="D96" s="28" t="s">
        <v>949</v>
      </c>
      <c r="E96" s="34"/>
      <c r="F96" s="34"/>
      <c r="G96" s="34"/>
      <c r="H96" s="34"/>
      <c r="I96" s="34"/>
      <c r="J96" s="34"/>
      <c r="K96" s="34"/>
      <c r="L96" s="34"/>
    </row>
    <row r="97" spans="1:12">
      <c r="A97" s="28">
        <v>95</v>
      </c>
      <c r="B97" s="28" t="str">
        <f t="shared" si="1"/>
        <v>0x005F</v>
      </c>
      <c r="C97" s="28"/>
      <c r="D97" s="28" t="s">
        <v>950</v>
      </c>
      <c r="E97" s="34"/>
      <c r="F97" s="34"/>
      <c r="G97" s="34"/>
      <c r="H97" s="34"/>
      <c r="I97" s="34"/>
      <c r="J97" s="34"/>
      <c r="K97" s="34"/>
      <c r="L97" s="34"/>
    </row>
    <row r="98" spans="1:12">
      <c r="A98" s="28">
        <v>96</v>
      </c>
      <c r="B98" s="28" t="str">
        <f t="shared" si="1"/>
        <v>0x0060</v>
      </c>
      <c r="C98" s="28" t="s">
        <v>951</v>
      </c>
      <c r="D98" s="28" t="s">
        <v>952</v>
      </c>
      <c r="E98" s="30" t="s">
        <v>953</v>
      </c>
      <c r="F98" s="30"/>
      <c r="G98" s="30"/>
      <c r="H98" s="30"/>
      <c r="I98" s="30"/>
      <c r="J98" s="30"/>
      <c r="K98" s="30"/>
      <c r="L98" s="30"/>
    </row>
    <row r="99" spans="1:12">
      <c r="A99" s="28">
        <v>97</v>
      </c>
      <c r="B99" s="28" t="str">
        <f t="shared" si="1"/>
        <v>0x0061</v>
      </c>
      <c r="C99" s="28"/>
      <c r="D99" s="28" t="s">
        <v>954</v>
      </c>
      <c r="E99" s="30" t="s">
        <v>955</v>
      </c>
      <c r="F99" s="30"/>
      <c r="G99" s="30"/>
      <c r="H99" s="30"/>
      <c r="I99" s="30"/>
      <c r="J99" s="30"/>
      <c r="K99" s="30"/>
      <c r="L99" s="30"/>
    </row>
    <row r="100" spans="1:12">
      <c r="A100" s="28">
        <v>98</v>
      </c>
      <c r="B100" s="28" t="str">
        <f t="shared" si="1"/>
        <v>0x0062</v>
      </c>
      <c r="C100" s="28"/>
      <c r="D100" s="28" t="s">
        <v>956</v>
      </c>
      <c r="E100" s="30" t="s">
        <v>957</v>
      </c>
      <c r="F100" s="30"/>
      <c r="G100" s="30"/>
      <c r="H100" s="30"/>
      <c r="I100" s="30"/>
      <c r="J100" s="30"/>
      <c r="K100" s="30"/>
      <c r="L100" s="30"/>
    </row>
    <row r="101" spans="1:12">
      <c r="A101" s="28">
        <v>99</v>
      </c>
      <c r="B101" s="28" t="str">
        <f t="shared" si="1"/>
        <v>0x0063</v>
      </c>
      <c r="C101" s="28"/>
      <c r="D101" s="28" t="s">
        <v>958</v>
      </c>
      <c r="E101" s="30" t="s">
        <v>959</v>
      </c>
      <c r="F101" s="30"/>
      <c r="G101" s="30"/>
      <c r="H101" s="30"/>
      <c r="I101" s="30"/>
      <c r="J101" s="30"/>
      <c r="K101" s="30"/>
      <c r="L101" s="30"/>
    </row>
    <row r="102" spans="1:12">
      <c r="A102" s="28">
        <v>100</v>
      </c>
      <c r="B102" s="28" t="str">
        <f t="shared" si="1"/>
        <v>0x0064</v>
      </c>
      <c r="C102" s="28" t="s">
        <v>960</v>
      </c>
      <c r="D102" s="28" t="s">
        <v>961</v>
      </c>
      <c r="E102" s="34"/>
      <c r="F102" s="34"/>
      <c r="G102" s="34"/>
      <c r="H102" s="34"/>
      <c r="I102" s="30" t="s">
        <v>962</v>
      </c>
      <c r="J102" s="30"/>
      <c r="K102" s="30"/>
      <c r="L102" s="30"/>
    </row>
    <row r="103" spans="1:12">
      <c r="A103" s="28">
        <v>101</v>
      </c>
      <c r="B103" s="28" t="str">
        <f t="shared" si="1"/>
        <v>0x0065</v>
      </c>
      <c r="C103" s="28"/>
      <c r="D103" s="28" t="s">
        <v>963</v>
      </c>
      <c r="E103" s="34"/>
      <c r="F103" s="34"/>
      <c r="G103" s="34"/>
      <c r="H103" s="34"/>
      <c r="I103" s="30"/>
      <c r="J103" s="30"/>
      <c r="K103" s="30"/>
      <c r="L103" s="30"/>
    </row>
    <row r="104" spans="1:12">
      <c r="A104" s="28">
        <v>102</v>
      </c>
      <c r="B104" s="28" t="str">
        <f t="shared" si="1"/>
        <v>0x0066</v>
      </c>
      <c r="C104" s="28"/>
      <c r="D104" s="28" t="s">
        <v>964</v>
      </c>
      <c r="E104" s="34"/>
      <c r="F104" s="34"/>
      <c r="G104" s="34"/>
      <c r="H104" s="34"/>
      <c r="I104" s="30"/>
      <c r="J104" s="30"/>
      <c r="K104" s="30"/>
      <c r="L104" s="30"/>
    </row>
    <row r="105" spans="1:12">
      <c r="A105" s="28">
        <v>103</v>
      </c>
      <c r="B105" s="28" t="str">
        <f t="shared" si="1"/>
        <v>0x0067</v>
      </c>
      <c r="C105" s="28"/>
      <c r="D105" s="28" t="s">
        <v>965</v>
      </c>
      <c r="E105" s="34"/>
      <c r="F105" s="34"/>
      <c r="G105" s="34"/>
      <c r="H105" s="34"/>
      <c r="I105" s="30"/>
      <c r="J105" s="30"/>
      <c r="K105" s="30"/>
      <c r="L105" s="30"/>
    </row>
    <row r="106" spans="1:12">
      <c r="A106" s="28">
        <v>104</v>
      </c>
      <c r="B106" s="28" t="str">
        <f t="shared" si="1"/>
        <v>0x0068</v>
      </c>
      <c r="C106" s="28" t="s">
        <v>966</v>
      </c>
      <c r="D106" s="28" t="s">
        <v>967</v>
      </c>
      <c r="E106" s="30" t="s">
        <v>968</v>
      </c>
      <c r="F106" s="30"/>
      <c r="G106" s="30"/>
      <c r="H106" s="30"/>
      <c r="I106" s="30"/>
      <c r="J106" s="30"/>
      <c r="K106" s="30"/>
      <c r="L106" s="30"/>
    </row>
    <row r="107" spans="1:12">
      <c r="A107" s="28">
        <v>105</v>
      </c>
      <c r="B107" s="28" t="str">
        <f t="shared" si="1"/>
        <v>0x0069</v>
      </c>
      <c r="C107" s="28"/>
      <c r="D107" s="28" t="s">
        <v>969</v>
      </c>
      <c r="E107" s="30" t="s">
        <v>970</v>
      </c>
      <c r="F107" s="30"/>
      <c r="G107" s="30"/>
      <c r="H107" s="30"/>
      <c r="I107" s="30"/>
      <c r="J107" s="30"/>
      <c r="K107" s="30"/>
      <c r="L107" s="30"/>
    </row>
    <row r="108" spans="1:12">
      <c r="A108" s="28">
        <v>106</v>
      </c>
      <c r="B108" s="28" t="str">
        <f t="shared" si="1"/>
        <v>0x006A</v>
      </c>
      <c r="C108" s="28"/>
      <c r="D108" s="28" t="s">
        <v>971</v>
      </c>
      <c r="E108" s="30" t="s">
        <v>972</v>
      </c>
      <c r="F108" s="30"/>
      <c r="G108" s="30"/>
      <c r="H108" s="30"/>
      <c r="I108" s="30"/>
      <c r="J108" s="30"/>
      <c r="K108" s="30"/>
      <c r="L108" s="30"/>
    </row>
    <row r="109" spans="1:12">
      <c r="A109" s="28">
        <v>107</v>
      </c>
      <c r="B109" s="28" t="str">
        <f t="shared" si="1"/>
        <v>0x006B</v>
      </c>
      <c r="C109" s="28"/>
      <c r="D109" s="28" t="s">
        <v>973</v>
      </c>
      <c r="E109" s="30" t="s">
        <v>974</v>
      </c>
      <c r="F109" s="30"/>
      <c r="G109" s="30"/>
      <c r="H109" s="30"/>
      <c r="I109" s="30"/>
      <c r="J109" s="30"/>
      <c r="K109" s="30"/>
      <c r="L109" s="30"/>
    </row>
    <row r="110" spans="1:12">
      <c r="A110" s="28">
        <v>108</v>
      </c>
      <c r="B110" s="28" t="str">
        <f t="shared" si="1"/>
        <v>0x006C</v>
      </c>
      <c r="C110" s="28" t="s">
        <v>975</v>
      </c>
      <c r="D110" s="28" t="s">
        <v>976</v>
      </c>
      <c r="E110" s="34"/>
      <c r="F110" s="34"/>
      <c r="G110" s="34"/>
      <c r="H110" s="34"/>
      <c r="I110" s="30" t="s">
        <v>977</v>
      </c>
      <c r="J110" s="30"/>
      <c r="K110" s="30"/>
      <c r="L110" s="30"/>
    </row>
    <row r="111" spans="1:12">
      <c r="A111" s="28">
        <v>109</v>
      </c>
      <c r="B111" s="28" t="str">
        <f t="shared" si="1"/>
        <v>0x006D</v>
      </c>
      <c r="C111" s="28"/>
      <c r="D111" s="28" t="s">
        <v>978</v>
      </c>
      <c r="E111" s="34"/>
      <c r="F111" s="34"/>
      <c r="G111" s="34"/>
      <c r="H111" s="34"/>
      <c r="I111" s="30"/>
      <c r="J111" s="30"/>
      <c r="K111" s="30"/>
      <c r="L111" s="30"/>
    </row>
    <row r="112" spans="1:12">
      <c r="A112" s="28">
        <v>110</v>
      </c>
      <c r="B112" s="28" t="str">
        <f t="shared" si="1"/>
        <v>0x006E</v>
      </c>
      <c r="C112" s="28"/>
      <c r="D112" s="28" t="s">
        <v>979</v>
      </c>
      <c r="E112" s="34"/>
      <c r="F112" s="34"/>
      <c r="G112" s="34"/>
      <c r="H112" s="34"/>
      <c r="I112" s="30"/>
      <c r="J112" s="30"/>
      <c r="K112" s="30"/>
      <c r="L112" s="30"/>
    </row>
    <row r="113" spans="1:12">
      <c r="A113" s="28">
        <v>111</v>
      </c>
      <c r="B113" s="28" t="str">
        <f t="shared" si="1"/>
        <v>0x006F</v>
      </c>
      <c r="C113" s="28"/>
      <c r="D113" s="28" t="s">
        <v>980</v>
      </c>
      <c r="E113" s="34"/>
      <c r="F113" s="34"/>
      <c r="G113" s="34"/>
      <c r="H113" s="34"/>
      <c r="I113" s="30"/>
      <c r="J113" s="30"/>
      <c r="K113" s="30"/>
      <c r="L113" s="30"/>
    </row>
    <row r="114" spans="1:12">
      <c r="A114" s="28">
        <v>112</v>
      </c>
      <c r="B114" s="28" t="str">
        <f t="shared" si="1"/>
        <v>0x0070</v>
      </c>
      <c r="C114" s="28" t="s">
        <v>981</v>
      </c>
      <c r="D114" s="28" t="s">
        <v>982</v>
      </c>
      <c r="E114" s="30" t="s">
        <v>983</v>
      </c>
      <c r="F114" s="30"/>
      <c r="G114" s="30"/>
      <c r="H114" s="30"/>
      <c r="I114" s="30"/>
      <c r="J114" s="30"/>
      <c r="K114" s="30"/>
      <c r="L114" s="30"/>
    </row>
    <row r="115" spans="1:12">
      <c r="A115" s="28">
        <v>113</v>
      </c>
      <c r="B115" s="28" t="str">
        <f t="shared" si="1"/>
        <v>0x0071</v>
      </c>
      <c r="C115" s="28"/>
      <c r="D115" s="28" t="s">
        <v>984</v>
      </c>
      <c r="E115" s="30" t="s">
        <v>985</v>
      </c>
      <c r="F115" s="30"/>
      <c r="G115" s="30"/>
      <c r="H115" s="30"/>
      <c r="I115" s="30"/>
      <c r="J115" s="30"/>
      <c r="K115" s="30"/>
      <c r="L115" s="30"/>
    </row>
    <row r="116" spans="1:12">
      <c r="A116" s="28">
        <v>114</v>
      </c>
      <c r="B116" s="28" t="str">
        <f t="shared" si="1"/>
        <v>0x0072</v>
      </c>
      <c r="C116" s="28"/>
      <c r="D116" s="28" t="s">
        <v>986</v>
      </c>
      <c r="E116" s="30" t="s">
        <v>987</v>
      </c>
      <c r="F116" s="30"/>
      <c r="G116" s="30"/>
      <c r="H116" s="30"/>
      <c r="I116" s="30"/>
      <c r="J116" s="30"/>
      <c r="K116" s="30"/>
      <c r="L116" s="30"/>
    </row>
    <row r="117" spans="1:12">
      <c r="A117" s="28">
        <v>115</v>
      </c>
      <c r="B117" s="28" t="str">
        <f t="shared" si="1"/>
        <v>0x0073</v>
      </c>
      <c r="C117" s="28"/>
      <c r="D117" s="28" t="s">
        <v>988</v>
      </c>
      <c r="E117" s="30" t="s">
        <v>989</v>
      </c>
      <c r="F117" s="30"/>
      <c r="G117" s="30"/>
      <c r="H117" s="30"/>
      <c r="I117" s="30"/>
      <c r="J117" s="30"/>
      <c r="K117" s="30"/>
      <c r="L117" s="30"/>
    </row>
    <row r="118" spans="1:12">
      <c r="A118" s="28">
        <v>116</v>
      </c>
      <c r="B118" s="28" t="str">
        <f t="shared" si="1"/>
        <v>0x0074</v>
      </c>
      <c r="C118" s="28" t="s">
        <v>990</v>
      </c>
      <c r="D118" s="28" t="s">
        <v>991</v>
      </c>
      <c r="E118" s="34"/>
      <c r="F118" s="34"/>
      <c r="G118" s="34"/>
      <c r="H118" s="34"/>
      <c r="I118" s="30" t="s">
        <v>992</v>
      </c>
      <c r="J118" s="30"/>
      <c r="K118" s="30"/>
      <c r="L118" s="30"/>
    </row>
    <row r="119" spans="1:12">
      <c r="A119" s="28">
        <v>117</v>
      </c>
      <c r="B119" s="28" t="str">
        <f t="shared" si="1"/>
        <v>0x0075</v>
      </c>
      <c r="C119" s="28"/>
      <c r="D119" s="28" t="s">
        <v>993</v>
      </c>
      <c r="E119" s="34"/>
      <c r="F119" s="34"/>
      <c r="G119" s="34"/>
      <c r="H119" s="34"/>
      <c r="I119" s="30"/>
      <c r="J119" s="30"/>
      <c r="K119" s="30"/>
      <c r="L119" s="30"/>
    </row>
    <row r="120" spans="1:12">
      <c r="A120" s="28">
        <v>118</v>
      </c>
      <c r="B120" s="28" t="str">
        <f t="shared" si="1"/>
        <v>0x0076</v>
      </c>
      <c r="C120" s="28"/>
      <c r="D120" s="28" t="s">
        <v>994</v>
      </c>
      <c r="E120" s="34"/>
      <c r="F120" s="34"/>
      <c r="G120" s="34"/>
      <c r="H120" s="34"/>
      <c r="I120" s="30"/>
      <c r="J120" s="30"/>
      <c r="K120" s="30"/>
      <c r="L120" s="30"/>
    </row>
    <row r="121" spans="1:12">
      <c r="A121" s="28">
        <v>119</v>
      </c>
      <c r="B121" s="28" t="str">
        <f t="shared" si="1"/>
        <v>0x0077</v>
      </c>
      <c r="C121" s="28"/>
      <c r="D121" s="28" t="s">
        <v>995</v>
      </c>
      <c r="E121" s="34"/>
      <c r="F121" s="34"/>
      <c r="G121" s="34"/>
      <c r="H121" s="34"/>
      <c r="I121" s="30"/>
      <c r="J121" s="30"/>
      <c r="K121" s="30"/>
      <c r="L121" s="30"/>
    </row>
    <row r="122" spans="1:12">
      <c r="A122" s="28">
        <v>120</v>
      </c>
      <c r="B122" s="28" t="str">
        <f t="shared" si="1"/>
        <v>0x0078</v>
      </c>
      <c r="C122" s="28" t="s">
        <v>996</v>
      </c>
      <c r="D122" s="28" t="s">
        <v>997</v>
      </c>
      <c r="E122" s="30" t="s">
        <v>998</v>
      </c>
      <c r="F122" s="30"/>
      <c r="G122" s="30"/>
      <c r="H122" s="30"/>
      <c r="I122" s="30"/>
      <c r="J122" s="30"/>
      <c r="K122" s="30"/>
      <c r="L122" s="30"/>
    </row>
    <row r="123" spans="1:12">
      <c r="A123" s="28">
        <v>121</v>
      </c>
      <c r="B123" s="28" t="str">
        <f t="shared" si="1"/>
        <v>0x0079</v>
      </c>
      <c r="C123" s="28"/>
      <c r="D123" s="28" t="s">
        <v>999</v>
      </c>
      <c r="E123" s="30" t="s">
        <v>1000</v>
      </c>
      <c r="F123" s="30"/>
      <c r="G123" s="30"/>
      <c r="H123" s="30"/>
      <c r="I123" s="30"/>
      <c r="J123" s="30"/>
      <c r="K123" s="30"/>
      <c r="L123" s="30"/>
    </row>
    <row r="124" spans="1:12">
      <c r="A124" s="28">
        <v>122</v>
      </c>
      <c r="B124" s="28" t="str">
        <f t="shared" si="1"/>
        <v>0x007A</v>
      </c>
      <c r="C124" s="28"/>
      <c r="D124" s="28" t="s">
        <v>1001</v>
      </c>
      <c r="E124" s="30" t="s">
        <v>1002</v>
      </c>
      <c r="F124" s="30"/>
      <c r="G124" s="30"/>
      <c r="H124" s="30"/>
      <c r="I124" s="30"/>
      <c r="J124" s="30"/>
      <c r="K124" s="30"/>
      <c r="L124" s="30"/>
    </row>
    <row r="125" spans="1:12">
      <c r="A125" s="28">
        <v>123</v>
      </c>
      <c r="B125" s="28" t="str">
        <f t="shared" si="1"/>
        <v>0x007B</v>
      </c>
      <c r="C125" s="28"/>
      <c r="D125" s="28" t="s">
        <v>1003</v>
      </c>
      <c r="E125" s="30" t="s">
        <v>1004</v>
      </c>
      <c r="F125" s="30"/>
      <c r="G125" s="30"/>
      <c r="H125" s="30"/>
      <c r="I125" s="30"/>
      <c r="J125" s="30"/>
      <c r="K125" s="30"/>
      <c r="L125" s="30"/>
    </row>
    <row r="126" spans="1:12">
      <c r="A126" s="28">
        <v>124</v>
      </c>
      <c r="B126" s="28" t="str">
        <f t="shared" si="1"/>
        <v>0x007C</v>
      </c>
      <c r="C126" s="28" t="s">
        <v>1005</v>
      </c>
      <c r="D126" s="28" t="s">
        <v>1006</v>
      </c>
      <c r="E126" s="34"/>
      <c r="F126" s="34"/>
      <c r="G126" s="34"/>
      <c r="H126" s="34"/>
      <c r="I126" s="30" t="s">
        <v>1007</v>
      </c>
      <c r="J126" s="30"/>
      <c r="K126" s="30"/>
      <c r="L126" s="30"/>
    </row>
    <row r="127" spans="1:12">
      <c r="A127" s="28">
        <v>125</v>
      </c>
      <c r="B127" s="28" t="str">
        <f t="shared" si="1"/>
        <v>0x007D</v>
      </c>
      <c r="C127" s="28"/>
      <c r="D127" s="28" t="s">
        <v>1008</v>
      </c>
      <c r="E127" s="34"/>
      <c r="F127" s="34"/>
      <c r="G127" s="34"/>
      <c r="H127" s="34"/>
      <c r="I127" s="34"/>
      <c r="J127" s="34"/>
      <c r="K127" s="34"/>
      <c r="L127" s="34"/>
    </row>
    <row r="128" spans="1:12">
      <c r="A128" s="28">
        <v>126</v>
      </c>
      <c r="B128" s="28" t="str">
        <f t="shared" si="1"/>
        <v>0x007E</v>
      </c>
      <c r="C128" s="28"/>
      <c r="D128" s="28" t="s">
        <v>1009</v>
      </c>
      <c r="E128" s="34"/>
      <c r="F128" s="34"/>
      <c r="G128" s="34"/>
      <c r="H128" s="34"/>
      <c r="I128" s="34"/>
      <c r="J128" s="34"/>
      <c r="K128" s="34"/>
      <c r="L128" s="34"/>
    </row>
    <row r="129" spans="1:12">
      <c r="A129" s="28">
        <v>127</v>
      </c>
      <c r="B129" s="28" t="str">
        <f t="shared" si="1"/>
        <v>0x007F</v>
      </c>
      <c r="C129" s="28"/>
      <c r="D129" s="28" t="s">
        <v>1010</v>
      </c>
      <c r="E129" s="34"/>
      <c r="F129" s="34"/>
      <c r="G129" s="34"/>
      <c r="H129" s="34"/>
      <c r="I129" s="34"/>
      <c r="J129" s="34"/>
      <c r="K129" s="34"/>
      <c r="L129" s="34"/>
    </row>
    <row r="130" spans="1:12">
      <c r="A130" s="28">
        <v>128</v>
      </c>
      <c r="B130" s="28" t="str">
        <f t="shared" si="1"/>
        <v>0x0080</v>
      </c>
      <c r="C130" s="28" t="s">
        <v>1011</v>
      </c>
      <c r="D130" s="28" t="s">
        <v>1012</v>
      </c>
      <c r="E130" s="30" t="s">
        <v>1013</v>
      </c>
      <c r="F130" s="30"/>
      <c r="G130" s="30"/>
      <c r="H130" s="30"/>
      <c r="I130" s="30"/>
      <c r="J130" s="30"/>
      <c r="K130" s="30"/>
      <c r="L130" s="30"/>
    </row>
    <row r="131" spans="1:12">
      <c r="A131" s="28">
        <v>129</v>
      </c>
      <c r="B131" s="28" t="str">
        <f t="shared" ref="B131:B194" si="2">CONCATENATE("0x",DEC2HEX(A131,4))</f>
        <v>0x0081</v>
      </c>
      <c r="C131" s="28"/>
      <c r="D131" s="28" t="s">
        <v>1014</v>
      </c>
      <c r="E131" s="30" t="s">
        <v>1015</v>
      </c>
      <c r="F131" s="30"/>
      <c r="G131" s="30"/>
      <c r="H131" s="30"/>
      <c r="I131" s="30"/>
      <c r="J131" s="30"/>
      <c r="K131" s="30"/>
      <c r="L131" s="30"/>
    </row>
    <row r="132" spans="1:12">
      <c r="A132" s="28">
        <v>130</v>
      </c>
      <c r="B132" s="28" t="str">
        <f t="shared" si="2"/>
        <v>0x0082</v>
      </c>
      <c r="C132" s="28"/>
      <c r="D132" s="28" t="s">
        <v>1016</v>
      </c>
      <c r="E132" s="30" t="s">
        <v>1017</v>
      </c>
      <c r="F132" s="30"/>
      <c r="G132" s="30"/>
      <c r="H132" s="30"/>
      <c r="I132" s="30"/>
      <c r="J132" s="30"/>
      <c r="K132" s="30"/>
      <c r="L132" s="30"/>
    </row>
    <row r="133" spans="1:12">
      <c r="A133" s="28">
        <v>131</v>
      </c>
      <c r="B133" s="28" t="str">
        <f t="shared" si="2"/>
        <v>0x0083</v>
      </c>
      <c r="C133" s="28"/>
      <c r="D133" s="28" t="s">
        <v>1018</v>
      </c>
      <c r="E133" s="30" t="s">
        <v>1019</v>
      </c>
      <c r="F133" s="30"/>
      <c r="G133" s="30"/>
      <c r="H133" s="30"/>
      <c r="I133" s="30"/>
      <c r="J133" s="30"/>
      <c r="K133" s="30"/>
      <c r="L133" s="30"/>
    </row>
    <row r="134" spans="1:12">
      <c r="A134" s="28">
        <v>132</v>
      </c>
      <c r="B134" s="28" t="str">
        <f t="shared" si="2"/>
        <v>0x0084</v>
      </c>
      <c r="C134" s="47" t="s">
        <v>1020</v>
      </c>
      <c r="D134" s="28" t="s">
        <v>1021</v>
      </c>
      <c r="E134" s="34"/>
      <c r="F134" s="34"/>
      <c r="G134" s="34"/>
      <c r="H134" s="34"/>
      <c r="I134" s="30" t="s">
        <v>1022</v>
      </c>
      <c r="J134" s="30"/>
      <c r="K134" s="30"/>
      <c r="L134" s="30"/>
    </row>
    <row r="135" spans="1:12">
      <c r="A135" s="28">
        <v>133</v>
      </c>
      <c r="B135" s="28" t="str">
        <f t="shared" si="2"/>
        <v>0x0085</v>
      </c>
      <c r="C135" s="64"/>
      <c r="D135" s="28" t="s">
        <v>1023</v>
      </c>
      <c r="E135" s="34"/>
      <c r="F135" s="34"/>
      <c r="G135" s="34"/>
      <c r="H135" s="34"/>
      <c r="I135" s="30"/>
      <c r="J135" s="30"/>
      <c r="K135" s="30"/>
      <c r="L135" s="30"/>
    </row>
    <row r="136" spans="1:12">
      <c r="A136" s="28">
        <v>134</v>
      </c>
      <c r="B136" s="28" t="str">
        <f t="shared" si="2"/>
        <v>0x0086</v>
      </c>
      <c r="C136" s="64"/>
      <c r="D136" s="28" t="s">
        <v>1024</v>
      </c>
      <c r="E136" s="34"/>
      <c r="F136" s="34"/>
      <c r="G136" s="34"/>
      <c r="H136" s="34"/>
      <c r="I136" s="30"/>
      <c r="J136" s="30"/>
      <c r="K136" s="30"/>
      <c r="L136" s="30"/>
    </row>
    <row r="137" spans="1:12">
      <c r="A137" s="28">
        <v>135</v>
      </c>
      <c r="B137" s="28" t="str">
        <f t="shared" si="2"/>
        <v>0x0087</v>
      </c>
      <c r="C137" s="54"/>
      <c r="D137" s="28" t="s">
        <v>1025</v>
      </c>
      <c r="E137" s="34"/>
      <c r="F137" s="34"/>
      <c r="G137" s="34"/>
      <c r="H137" s="34"/>
      <c r="I137" s="30"/>
      <c r="J137" s="30"/>
      <c r="K137" s="30"/>
      <c r="L137" s="30"/>
    </row>
    <row r="138" spans="1:12">
      <c r="A138" s="28">
        <v>136</v>
      </c>
      <c r="B138" s="28" t="str">
        <f t="shared" si="2"/>
        <v>0x0088</v>
      </c>
      <c r="C138" s="47" t="s">
        <v>1026</v>
      </c>
      <c r="D138" s="28" t="s">
        <v>1027</v>
      </c>
      <c r="E138" s="30" t="s">
        <v>1028</v>
      </c>
      <c r="F138" s="30"/>
      <c r="G138" s="30"/>
      <c r="H138" s="30"/>
      <c r="I138" s="30"/>
      <c r="J138" s="30"/>
      <c r="K138" s="30"/>
      <c r="L138" s="30"/>
    </row>
    <row r="139" spans="1:12">
      <c r="A139" s="28">
        <v>137</v>
      </c>
      <c r="B139" s="28" t="str">
        <f t="shared" si="2"/>
        <v>0x0089</v>
      </c>
      <c r="C139" s="64"/>
      <c r="D139" s="28" t="s">
        <v>1029</v>
      </c>
      <c r="E139" s="30" t="s">
        <v>1030</v>
      </c>
      <c r="F139" s="30"/>
      <c r="G139" s="30"/>
      <c r="H139" s="30"/>
      <c r="I139" s="30"/>
      <c r="J139" s="30"/>
      <c r="K139" s="30"/>
      <c r="L139" s="30"/>
    </row>
    <row r="140" spans="1:12">
      <c r="A140" s="28">
        <v>138</v>
      </c>
      <c r="B140" s="28" t="str">
        <f t="shared" si="2"/>
        <v>0x008A</v>
      </c>
      <c r="C140" s="64"/>
      <c r="D140" s="28" t="s">
        <v>1031</v>
      </c>
      <c r="E140" s="30" t="s">
        <v>1032</v>
      </c>
      <c r="F140" s="30"/>
      <c r="G140" s="30"/>
      <c r="H140" s="30"/>
      <c r="I140" s="30"/>
      <c r="J140" s="30"/>
      <c r="K140" s="30"/>
      <c r="L140" s="30"/>
    </row>
    <row r="141" spans="1:12">
      <c r="A141" s="28">
        <v>139</v>
      </c>
      <c r="B141" s="28" t="str">
        <f t="shared" si="2"/>
        <v>0x008B</v>
      </c>
      <c r="C141" s="54"/>
      <c r="D141" s="28" t="s">
        <v>1033</v>
      </c>
      <c r="E141" s="30" t="s">
        <v>1034</v>
      </c>
      <c r="F141" s="30"/>
      <c r="G141" s="30"/>
      <c r="H141" s="30"/>
      <c r="I141" s="30"/>
      <c r="J141" s="30"/>
      <c r="K141" s="30"/>
      <c r="L141" s="30"/>
    </row>
    <row r="142" spans="1:12">
      <c r="A142" s="28">
        <v>140</v>
      </c>
      <c r="B142" s="28" t="str">
        <f t="shared" si="2"/>
        <v>0x008C</v>
      </c>
      <c r="C142" s="47" t="s">
        <v>1035</v>
      </c>
      <c r="D142" s="28" t="s">
        <v>1036</v>
      </c>
      <c r="E142" s="34"/>
      <c r="F142" s="34"/>
      <c r="G142" s="34"/>
      <c r="H142" s="34"/>
      <c r="I142" s="30" t="s">
        <v>1037</v>
      </c>
      <c r="J142" s="30"/>
      <c r="K142" s="30"/>
      <c r="L142" s="30"/>
    </row>
    <row r="143" spans="1:12">
      <c r="A143" s="28">
        <v>141</v>
      </c>
      <c r="B143" s="28" t="str">
        <f t="shared" si="2"/>
        <v>0x008D</v>
      </c>
      <c r="C143" s="64"/>
      <c r="D143" s="28" t="s">
        <v>1038</v>
      </c>
      <c r="E143" s="34"/>
      <c r="F143" s="34"/>
      <c r="G143" s="34"/>
      <c r="H143" s="34"/>
      <c r="I143" s="34"/>
      <c r="J143" s="34"/>
      <c r="K143" s="34"/>
      <c r="L143" s="34"/>
    </row>
    <row r="144" spans="1:12">
      <c r="A144" s="28">
        <v>142</v>
      </c>
      <c r="B144" s="28" t="str">
        <f t="shared" si="2"/>
        <v>0x008E</v>
      </c>
      <c r="C144" s="64"/>
      <c r="D144" s="28" t="s">
        <v>1039</v>
      </c>
      <c r="E144" s="34"/>
      <c r="F144" s="34"/>
      <c r="G144" s="34"/>
      <c r="H144" s="34"/>
      <c r="I144" s="34"/>
      <c r="J144" s="34"/>
      <c r="K144" s="34"/>
      <c r="L144" s="34"/>
    </row>
    <row r="145" spans="1:12">
      <c r="A145" s="28">
        <v>143</v>
      </c>
      <c r="B145" s="28" t="str">
        <f t="shared" si="2"/>
        <v>0x008F</v>
      </c>
      <c r="C145" s="54"/>
      <c r="D145" s="28" t="s">
        <v>1040</v>
      </c>
      <c r="E145" s="34"/>
      <c r="F145" s="34"/>
      <c r="G145" s="34"/>
      <c r="H145" s="34"/>
      <c r="I145" s="34"/>
      <c r="J145" s="34"/>
      <c r="K145" s="34"/>
      <c r="L145" s="34"/>
    </row>
    <row r="146" spans="1:12">
      <c r="A146" s="28">
        <v>144</v>
      </c>
      <c r="B146" s="28" t="str">
        <f t="shared" si="2"/>
        <v>0x0090</v>
      </c>
      <c r="C146" s="47" t="s">
        <v>1041</v>
      </c>
      <c r="D146" s="28" t="s">
        <v>1042</v>
      </c>
      <c r="E146" s="30" t="s">
        <v>1043</v>
      </c>
      <c r="F146" s="30"/>
      <c r="G146" s="30"/>
      <c r="H146" s="30"/>
      <c r="I146" s="30"/>
      <c r="J146" s="30"/>
      <c r="K146" s="30"/>
      <c r="L146" s="30"/>
    </row>
    <row r="147" spans="1:12">
      <c r="A147" s="28">
        <v>145</v>
      </c>
      <c r="B147" s="28" t="str">
        <f t="shared" si="2"/>
        <v>0x0091</v>
      </c>
      <c r="C147" s="64"/>
      <c r="D147" s="28" t="s">
        <v>1044</v>
      </c>
      <c r="E147" s="30" t="s">
        <v>1045</v>
      </c>
      <c r="F147" s="30"/>
      <c r="G147" s="30"/>
      <c r="H147" s="30"/>
      <c r="I147" s="30"/>
      <c r="J147" s="30"/>
      <c r="K147" s="30"/>
      <c r="L147" s="30"/>
    </row>
    <row r="148" spans="1:12">
      <c r="A148" s="28">
        <v>146</v>
      </c>
      <c r="B148" s="28" t="str">
        <f t="shared" si="2"/>
        <v>0x0092</v>
      </c>
      <c r="C148" s="64"/>
      <c r="D148" s="28" t="s">
        <v>1046</v>
      </c>
      <c r="E148" s="30" t="s">
        <v>1047</v>
      </c>
      <c r="F148" s="30"/>
      <c r="G148" s="30"/>
      <c r="H148" s="30"/>
      <c r="I148" s="30"/>
      <c r="J148" s="30"/>
      <c r="K148" s="30"/>
      <c r="L148" s="30"/>
    </row>
    <row r="149" spans="1:12">
      <c r="A149" s="28">
        <v>147</v>
      </c>
      <c r="B149" s="28" t="str">
        <f t="shared" si="2"/>
        <v>0x0093</v>
      </c>
      <c r="C149" s="54"/>
      <c r="D149" s="28" t="s">
        <v>1048</v>
      </c>
      <c r="E149" s="30" t="s">
        <v>1049</v>
      </c>
      <c r="F149" s="30"/>
      <c r="G149" s="30"/>
      <c r="H149" s="30"/>
      <c r="I149" s="30"/>
      <c r="J149" s="30"/>
      <c r="K149" s="30"/>
      <c r="L149" s="30"/>
    </row>
    <row r="150" spans="1:12">
      <c r="A150" s="28">
        <v>148</v>
      </c>
      <c r="B150" s="28" t="str">
        <f t="shared" si="2"/>
        <v>0x0094</v>
      </c>
      <c r="C150" s="47" t="s">
        <v>1050</v>
      </c>
      <c r="D150" s="28" t="s">
        <v>1051</v>
      </c>
      <c r="E150" s="34"/>
      <c r="F150" s="34"/>
      <c r="G150" s="34"/>
      <c r="H150" s="34"/>
      <c r="I150" s="30" t="s">
        <v>1052</v>
      </c>
      <c r="J150" s="30"/>
      <c r="K150" s="30"/>
      <c r="L150" s="30"/>
    </row>
    <row r="151" spans="1:12">
      <c r="A151" s="28">
        <v>149</v>
      </c>
      <c r="B151" s="28" t="str">
        <f t="shared" si="2"/>
        <v>0x0095</v>
      </c>
      <c r="C151" s="64"/>
      <c r="D151" s="28" t="s">
        <v>1053</v>
      </c>
      <c r="E151" s="34"/>
      <c r="F151" s="34"/>
      <c r="G151" s="34"/>
      <c r="H151" s="34"/>
      <c r="I151" s="34"/>
      <c r="J151" s="34"/>
      <c r="K151" s="34"/>
      <c r="L151" s="34"/>
    </row>
    <row r="152" spans="1:12">
      <c r="A152" s="28">
        <v>150</v>
      </c>
      <c r="B152" s="28" t="str">
        <f t="shared" si="2"/>
        <v>0x0096</v>
      </c>
      <c r="C152" s="64"/>
      <c r="D152" s="28" t="s">
        <v>1054</v>
      </c>
      <c r="E152" s="34"/>
      <c r="F152" s="34"/>
      <c r="G152" s="34"/>
      <c r="H152" s="34"/>
      <c r="I152" s="34"/>
      <c r="J152" s="34"/>
      <c r="K152" s="34"/>
      <c r="L152" s="34"/>
    </row>
    <row r="153" spans="1:12">
      <c r="A153" s="28">
        <v>151</v>
      </c>
      <c r="B153" s="28" t="str">
        <f t="shared" si="2"/>
        <v>0x0097</v>
      </c>
      <c r="C153" s="54"/>
      <c r="D153" s="28" t="s">
        <v>1055</v>
      </c>
      <c r="E153" s="34"/>
      <c r="F153" s="34"/>
      <c r="G153" s="34"/>
      <c r="H153" s="34"/>
      <c r="I153" s="34"/>
      <c r="J153" s="34"/>
      <c r="K153" s="34"/>
      <c r="L153" s="34"/>
    </row>
    <row r="154" spans="1:12">
      <c r="A154" s="28">
        <v>152</v>
      </c>
      <c r="B154" s="28" t="str">
        <f t="shared" si="2"/>
        <v>0x0098</v>
      </c>
      <c r="C154" s="47" t="s">
        <v>1056</v>
      </c>
      <c r="D154" s="28" t="s">
        <v>1057</v>
      </c>
      <c r="E154" s="30" t="s">
        <v>1058</v>
      </c>
      <c r="F154" s="30"/>
      <c r="G154" s="30"/>
      <c r="H154" s="30"/>
      <c r="I154" s="30"/>
      <c r="J154" s="30"/>
      <c r="K154" s="30"/>
      <c r="L154" s="30"/>
    </row>
    <row r="155" spans="1:12">
      <c r="A155" s="28">
        <v>153</v>
      </c>
      <c r="B155" s="28" t="str">
        <f t="shared" si="2"/>
        <v>0x0099</v>
      </c>
      <c r="C155" s="64"/>
      <c r="D155" s="28" t="s">
        <v>1059</v>
      </c>
      <c r="E155" s="30" t="s">
        <v>1060</v>
      </c>
      <c r="F155" s="30"/>
      <c r="G155" s="30"/>
      <c r="H155" s="30"/>
      <c r="I155" s="30"/>
      <c r="J155" s="30"/>
      <c r="K155" s="30"/>
      <c r="L155" s="30"/>
    </row>
    <row r="156" spans="1:12">
      <c r="A156" s="28">
        <v>154</v>
      </c>
      <c r="B156" s="28" t="str">
        <f t="shared" si="2"/>
        <v>0x009A</v>
      </c>
      <c r="C156" s="64"/>
      <c r="D156" s="28" t="s">
        <v>1061</v>
      </c>
      <c r="E156" s="30" t="s">
        <v>1062</v>
      </c>
      <c r="F156" s="30"/>
      <c r="G156" s="30"/>
      <c r="H156" s="30"/>
      <c r="I156" s="30"/>
      <c r="J156" s="30"/>
      <c r="K156" s="30"/>
      <c r="L156" s="30"/>
    </row>
    <row r="157" spans="1:12">
      <c r="A157" s="28">
        <v>155</v>
      </c>
      <c r="B157" s="28" t="str">
        <f t="shared" si="2"/>
        <v>0x009B</v>
      </c>
      <c r="C157" s="54"/>
      <c r="D157" s="28" t="s">
        <v>1063</v>
      </c>
      <c r="E157" s="30" t="s">
        <v>1064</v>
      </c>
      <c r="F157" s="30"/>
      <c r="G157" s="30"/>
      <c r="H157" s="30"/>
      <c r="I157" s="30"/>
      <c r="J157" s="30"/>
      <c r="K157" s="30"/>
      <c r="L157" s="30"/>
    </row>
    <row r="158" spans="1:12">
      <c r="A158" s="28">
        <v>156</v>
      </c>
      <c r="B158" s="28" t="str">
        <f t="shared" si="2"/>
        <v>0x009C</v>
      </c>
      <c r="C158" s="47" t="s">
        <v>1065</v>
      </c>
      <c r="D158" s="28" t="s">
        <v>1066</v>
      </c>
      <c r="E158" s="30" t="s">
        <v>1067</v>
      </c>
      <c r="F158" s="30"/>
      <c r="G158" s="30"/>
      <c r="H158" s="30"/>
      <c r="I158" s="30"/>
      <c r="J158" s="30"/>
      <c r="K158" s="30"/>
      <c r="L158" s="30"/>
    </row>
    <row r="159" spans="1:12">
      <c r="A159" s="28">
        <v>157</v>
      </c>
      <c r="B159" s="28" t="str">
        <f t="shared" si="2"/>
        <v>0x009D</v>
      </c>
      <c r="C159" s="64"/>
      <c r="D159" s="28" t="s">
        <v>1068</v>
      </c>
      <c r="E159" s="30" t="s">
        <v>1069</v>
      </c>
      <c r="F159" s="30"/>
      <c r="G159" s="30"/>
      <c r="H159" s="30"/>
      <c r="I159" s="30"/>
      <c r="J159" s="30"/>
      <c r="K159" s="30"/>
      <c r="L159" s="30"/>
    </row>
    <row r="160" spans="1:12">
      <c r="A160" s="28">
        <v>158</v>
      </c>
      <c r="B160" s="28" t="str">
        <f t="shared" si="2"/>
        <v>0x009E</v>
      </c>
      <c r="C160" s="64"/>
      <c r="D160" s="28" t="s">
        <v>1070</v>
      </c>
      <c r="E160" s="30" t="s">
        <v>1071</v>
      </c>
      <c r="F160" s="30"/>
      <c r="G160" s="30"/>
      <c r="H160" s="30"/>
      <c r="I160" s="30"/>
      <c r="J160" s="30"/>
      <c r="K160" s="30"/>
      <c r="L160" s="30"/>
    </row>
    <row r="161" spans="1:12">
      <c r="A161" s="28">
        <v>159</v>
      </c>
      <c r="B161" s="28" t="str">
        <f t="shared" si="2"/>
        <v>0x009F</v>
      </c>
      <c r="C161" s="54"/>
      <c r="D161" s="28" t="s">
        <v>1072</v>
      </c>
      <c r="E161" s="30" t="s">
        <v>1073</v>
      </c>
      <c r="F161" s="30"/>
      <c r="G161" s="30"/>
      <c r="H161" s="30"/>
      <c r="I161" s="30"/>
      <c r="J161" s="30"/>
      <c r="K161" s="30"/>
      <c r="L161" s="30"/>
    </row>
    <row r="162" spans="1:12">
      <c r="A162" s="28">
        <v>160</v>
      </c>
      <c r="B162" s="28" t="str">
        <f t="shared" si="2"/>
        <v>0x00A0</v>
      </c>
      <c r="C162" s="28" t="s">
        <v>1074</v>
      </c>
      <c r="D162" s="28" t="s">
        <v>1075</v>
      </c>
      <c r="E162" s="30" t="s">
        <v>1076</v>
      </c>
      <c r="F162" s="30"/>
      <c r="G162" s="30"/>
      <c r="H162" s="30"/>
      <c r="I162" s="30"/>
      <c r="J162" s="30"/>
      <c r="K162" s="30"/>
      <c r="L162" s="30"/>
    </row>
    <row r="163" spans="1:12">
      <c r="A163" s="28">
        <v>161</v>
      </c>
      <c r="B163" s="28" t="str">
        <f t="shared" si="2"/>
        <v>0x00A1</v>
      </c>
      <c r="C163" s="28"/>
      <c r="D163" s="28" t="s">
        <v>1077</v>
      </c>
      <c r="E163" s="34"/>
      <c r="F163" s="34"/>
      <c r="G163" s="34"/>
      <c r="H163" s="34"/>
      <c r="I163" s="34"/>
      <c r="J163" s="34"/>
      <c r="K163" s="34"/>
      <c r="L163" s="34"/>
    </row>
    <row r="164" spans="1:12">
      <c r="A164" s="28">
        <v>162</v>
      </c>
      <c r="B164" s="28" t="str">
        <f t="shared" si="2"/>
        <v>0x00A2</v>
      </c>
      <c r="C164" s="28"/>
      <c r="D164" s="28" t="s">
        <v>1078</v>
      </c>
      <c r="E164" s="34"/>
      <c r="F164" s="34"/>
      <c r="G164" s="34"/>
      <c r="H164" s="34"/>
      <c r="I164" s="34"/>
      <c r="J164" s="34"/>
      <c r="K164" s="34"/>
      <c r="L164" s="34"/>
    </row>
    <row r="165" spans="1:12">
      <c r="A165" s="28">
        <v>163</v>
      </c>
      <c r="B165" s="28" t="str">
        <f t="shared" si="2"/>
        <v>0x00A3</v>
      </c>
      <c r="C165" s="28"/>
      <c r="D165" s="28" t="s">
        <v>1079</v>
      </c>
      <c r="E165" s="34"/>
      <c r="F165" s="34"/>
      <c r="G165" s="34"/>
      <c r="H165" s="34"/>
      <c r="I165" s="34"/>
      <c r="J165" s="34"/>
      <c r="K165" s="34"/>
      <c r="L165" s="34"/>
    </row>
    <row r="166" spans="1:12">
      <c r="A166" s="28">
        <v>164</v>
      </c>
      <c r="B166" s="28" t="str">
        <f t="shared" si="2"/>
        <v>0x00A4</v>
      </c>
      <c r="C166" s="28" t="s">
        <v>1080</v>
      </c>
      <c r="D166" s="28" t="s">
        <v>1081</v>
      </c>
      <c r="E166" s="28" t="s">
        <v>1082</v>
      </c>
      <c r="F166" s="34"/>
      <c r="G166" s="34"/>
      <c r="H166" s="34"/>
      <c r="I166" s="34"/>
      <c r="J166" s="34"/>
      <c r="K166" s="34"/>
      <c r="L166" s="34"/>
    </row>
    <row r="167" spans="1:12">
      <c r="A167" s="28">
        <v>165</v>
      </c>
      <c r="B167" s="28" t="str">
        <f t="shared" si="2"/>
        <v>0x00A5</v>
      </c>
      <c r="C167" s="28"/>
      <c r="D167" s="28" t="s">
        <v>1083</v>
      </c>
      <c r="E167" s="34"/>
      <c r="F167" s="34"/>
      <c r="G167" s="34"/>
      <c r="H167" s="34"/>
      <c r="I167" s="34"/>
      <c r="J167" s="34"/>
      <c r="K167" s="28" t="s">
        <v>1084</v>
      </c>
      <c r="L167" s="28" t="s">
        <v>1085</v>
      </c>
    </row>
    <row r="168" spans="1:12">
      <c r="A168" s="28">
        <v>166</v>
      </c>
      <c r="B168" s="28" t="str">
        <f t="shared" si="2"/>
        <v>0x00A6</v>
      </c>
      <c r="C168" s="28"/>
      <c r="D168" s="28" t="s">
        <v>1086</v>
      </c>
      <c r="E168" s="28" t="s">
        <v>1087</v>
      </c>
      <c r="F168" s="34"/>
      <c r="G168" s="34"/>
      <c r="H168" s="34"/>
      <c r="I168" s="34"/>
      <c r="J168" s="34"/>
      <c r="K168" s="34"/>
      <c r="L168" s="34"/>
    </row>
    <row r="169" spans="1:12">
      <c r="A169" s="28">
        <v>167</v>
      </c>
      <c r="B169" s="28" t="str">
        <f t="shared" si="2"/>
        <v>0x00A7</v>
      </c>
      <c r="C169" s="28"/>
      <c r="D169" s="28" t="s">
        <v>1088</v>
      </c>
      <c r="E169" s="34"/>
      <c r="F169" s="34"/>
      <c r="G169" s="34"/>
      <c r="H169" s="34"/>
      <c r="I169" s="34"/>
      <c r="J169" s="34"/>
      <c r="K169" s="28" t="s">
        <v>1089</v>
      </c>
      <c r="L169" s="28" t="s">
        <v>1090</v>
      </c>
    </row>
    <row r="170" spans="1:12">
      <c r="A170" s="28">
        <v>168</v>
      </c>
      <c r="B170" s="28" t="str">
        <f t="shared" si="2"/>
        <v>0x00A8</v>
      </c>
      <c r="C170" s="28" t="s">
        <v>1091</v>
      </c>
      <c r="D170" s="28" t="s">
        <v>1092</v>
      </c>
      <c r="E170" s="34"/>
      <c r="F170" s="34"/>
      <c r="G170" s="34"/>
      <c r="H170" s="34"/>
      <c r="I170" s="34"/>
      <c r="J170" s="28" t="s">
        <v>1093</v>
      </c>
      <c r="K170" s="28" t="s">
        <v>1094</v>
      </c>
      <c r="L170" s="28" t="s">
        <v>1095</v>
      </c>
    </row>
    <row r="171" spans="1:12">
      <c r="A171" s="28">
        <v>169</v>
      </c>
      <c r="B171" s="28" t="str">
        <f t="shared" si="2"/>
        <v>0x00A9</v>
      </c>
      <c r="C171" s="28"/>
      <c r="D171" s="28" t="s">
        <v>1096</v>
      </c>
      <c r="E171" s="34"/>
      <c r="F171" s="34"/>
      <c r="G171" s="34"/>
      <c r="H171" s="34"/>
      <c r="I171" s="34"/>
      <c r="J171" s="34"/>
      <c r="K171" s="34"/>
      <c r="L171" s="30" t="s">
        <v>1097</v>
      </c>
    </row>
    <row r="172" spans="1:12">
      <c r="A172" s="28">
        <v>170</v>
      </c>
      <c r="B172" s="28" t="str">
        <f t="shared" si="2"/>
        <v>0x00AA</v>
      </c>
      <c r="C172" s="28"/>
      <c r="D172" s="28" t="s">
        <v>1098</v>
      </c>
      <c r="E172" s="34"/>
      <c r="F172" s="34"/>
      <c r="G172" s="34"/>
      <c r="H172" s="34"/>
      <c r="I172" s="34"/>
      <c r="J172" s="34"/>
      <c r="K172" s="34"/>
      <c r="L172" s="34"/>
    </row>
    <row r="173" spans="1:12">
      <c r="A173" s="28">
        <v>171</v>
      </c>
      <c r="B173" s="28" t="str">
        <f t="shared" si="2"/>
        <v>0x00AB</v>
      </c>
      <c r="C173" s="28"/>
      <c r="D173" s="28" t="s">
        <v>1099</v>
      </c>
      <c r="E173" s="34"/>
      <c r="F173" s="34"/>
      <c r="G173" s="34"/>
      <c r="H173" s="34"/>
      <c r="I173" s="34"/>
      <c r="J173" s="34"/>
      <c r="K173" s="34"/>
      <c r="L173" s="34"/>
    </row>
    <row r="174" spans="1:12">
      <c r="A174" s="28">
        <v>172</v>
      </c>
      <c r="B174" s="28" t="str">
        <f t="shared" si="2"/>
        <v>0x00AC</v>
      </c>
      <c r="C174" s="28" t="s">
        <v>1100</v>
      </c>
      <c r="D174" s="28" t="s">
        <v>1101</v>
      </c>
      <c r="E174" s="28"/>
      <c r="F174" s="28" t="s">
        <v>1102</v>
      </c>
      <c r="G174" s="28" t="s">
        <v>1103</v>
      </c>
      <c r="H174" s="28" t="s">
        <v>1104</v>
      </c>
      <c r="I174" s="28"/>
      <c r="J174" s="28" t="s">
        <v>1105</v>
      </c>
      <c r="K174" s="28" t="s">
        <v>1106</v>
      </c>
      <c r="L174" s="28" t="s">
        <v>1107</v>
      </c>
    </row>
    <row r="175" spans="1:12">
      <c r="A175" s="28">
        <v>173</v>
      </c>
      <c r="B175" s="28" t="str">
        <f t="shared" si="2"/>
        <v>0x00AD</v>
      </c>
      <c r="C175" s="28"/>
      <c r="D175" s="28" t="s">
        <v>1108</v>
      </c>
      <c r="E175" s="28" t="s">
        <v>1109</v>
      </c>
      <c r="F175" s="28" t="s">
        <v>1110</v>
      </c>
      <c r="G175" s="28" t="s">
        <v>1111</v>
      </c>
      <c r="H175" s="28" t="s">
        <v>1112</v>
      </c>
      <c r="I175" s="28" t="s">
        <v>1113</v>
      </c>
      <c r="J175" s="28" t="s">
        <v>1114</v>
      </c>
      <c r="K175" s="28" t="s">
        <v>1115</v>
      </c>
      <c r="L175" s="28" t="s">
        <v>1116</v>
      </c>
    </row>
    <row r="176" spans="1:12">
      <c r="A176" s="28">
        <v>174</v>
      </c>
      <c r="B176" s="28" t="str">
        <f t="shared" si="2"/>
        <v>0x00AE</v>
      </c>
      <c r="C176" s="28"/>
      <c r="D176" s="28" t="s">
        <v>1117</v>
      </c>
      <c r="E176" s="28"/>
      <c r="F176" s="28"/>
      <c r="G176" s="28"/>
      <c r="H176" s="28"/>
      <c r="I176" s="28"/>
      <c r="J176" s="28" t="s">
        <v>1118</v>
      </c>
      <c r="K176" s="28" t="s">
        <v>1119</v>
      </c>
      <c r="L176" s="28" t="s">
        <v>1120</v>
      </c>
    </row>
    <row r="177" spans="1:12">
      <c r="A177" s="28">
        <v>175</v>
      </c>
      <c r="B177" s="28" t="str">
        <f t="shared" si="2"/>
        <v>0x00AF</v>
      </c>
      <c r="C177" s="28"/>
      <c r="D177" s="28" t="s">
        <v>1121</v>
      </c>
      <c r="E177" s="28"/>
      <c r="F177" s="28"/>
      <c r="G177" s="28"/>
      <c r="H177" s="28"/>
      <c r="I177" s="28"/>
      <c r="J177" s="28"/>
      <c r="K177" s="28"/>
      <c r="L177" s="28"/>
    </row>
    <row r="178" spans="1:12">
      <c r="A178" s="28">
        <v>176</v>
      </c>
      <c r="B178" s="28" t="str">
        <f t="shared" si="2"/>
        <v>0x00B0</v>
      </c>
      <c r="C178" s="28"/>
      <c r="D178" s="28"/>
      <c r="E178" s="28"/>
      <c r="F178" s="34"/>
      <c r="G178" s="34"/>
      <c r="H178" s="34"/>
      <c r="I178" s="28"/>
      <c r="J178" s="34"/>
      <c r="K178" s="34"/>
      <c r="L178" s="34"/>
    </row>
    <row r="179" spans="1:12">
      <c r="A179" s="28">
        <v>177</v>
      </c>
      <c r="B179" s="28" t="str">
        <f t="shared" si="2"/>
        <v>0x00B1</v>
      </c>
      <c r="C179" s="28"/>
      <c r="D179" s="28"/>
      <c r="E179" s="34"/>
      <c r="F179" s="28"/>
      <c r="G179" s="34"/>
      <c r="H179" s="28"/>
      <c r="I179" s="29"/>
      <c r="J179" s="32"/>
      <c r="K179" s="28"/>
      <c r="L179" s="28"/>
    </row>
    <row r="180" spans="1:12">
      <c r="A180" s="28">
        <v>178</v>
      </c>
      <c r="B180" s="28" t="str">
        <f t="shared" si="2"/>
        <v>0x00B2</v>
      </c>
      <c r="C180" s="28"/>
      <c r="D180" s="28"/>
      <c r="E180" s="34"/>
      <c r="F180" s="34"/>
      <c r="G180" s="34"/>
      <c r="H180" s="34"/>
      <c r="I180" s="28"/>
      <c r="J180" s="34"/>
      <c r="K180" s="34"/>
      <c r="L180" s="34"/>
    </row>
    <row r="181" spans="1:12">
      <c r="A181" s="28">
        <v>179</v>
      </c>
      <c r="B181" s="28" t="str">
        <f t="shared" si="2"/>
        <v>0x00B3</v>
      </c>
      <c r="C181" s="28"/>
      <c r="D181" s="28"/>
      <c r="E181" s="34"/>
      <c r="F181" s="34"/>
      <c r="G181" s="34"/>
      <c r="H181" s="30"/>
      <c r="I181" s="34"/>
      <c r="J181" s="28"/>
      <c r="K181" s="34"/>
      <c r="L181" s="28"/>
    </row>
    <row r="182" ht="15.75" spans="1:12">
      <c r="A182" s="28">
        <v>180</v>
      </c>
      <c r="B182" s="28" t="str">
        <f t="shared" si="2"/>
        <v>0x00B4</v>
      </c>
      <c r="C182" s="28"/>
      <c r="D182" s="28"/>
      <c r="E182" s="34"/>
      <c r="F182" s="34"/>
      <c r="G182" s="34"/>
      <c r="H182" s="28"/>
      <c r="I182" s="28"/>
      <c r="J182" s="34"/>
      <c r="K182" s="65"/>
      <c r="L182" s="28"/>
    </row>
    <row r="183" ht="15.75" spans="1:12">
      <c r="A183" s="28">
        <v>181</v>
      </c>
      <c r="B183" s="28" t="str">
        <f t="shared" si="2"/>
        <v>0x00B5</v>
      </c>
      <c r="C183" s="28"/>
      <c r="D183" s="28"/>
      <c r="E183" s="34"/>
      <c r="F183" s="34"/>
      <c r="G183" s="34"/>
      <c r="H183" s="66"/>
      <c r="I183" s="67"/>
      <c r="J183" s="67"/>
      <c r="K183" s="67"/>
      <c r="L183" s="68"/>
    </row>
    <row r="184" spans="1:12">
      <c r="A184" s="28">
        <v>182</v>
      </c>
      <c r="B184" s="28" t="str">
        <f t="shared" si="2"/>
        <v>0x00B6</v>
      </c>
      <c r="C184" s="28"/>
      <c r="D184" s="28"/>
      <c r="E184" s="34"/>
      <c r="F184" s="34"/>
      <c r="G184" s="34"/>
      <c r="H184" s="34"/>
      <c r="I184" s="34"/>
      <c r="J184" s="34"/>
      <c r="K184" s="34"/>
      <c r="L184" s="34"/>
    </row>
    <row r="185" spans="1:12">
      <c r="A185" s="28">
        <v>183</v>
      </c>
      <c r="B185" s="28" t="str">
        <f t="shared" si="2"/>
        <v>0x00B7</v>
      </c>
      <c r="C185" s="28"/>
      <c r="D185" s="28"/>
      <c r="E185" s="34"/>
      <c r="F185" s="34"/>
      <c r="G185" s="34"/>
      <c r="H185" s="34"/>
      <c r="I185" s="34"/>
      <c r="J185" s="34"/>
      <c r="K185" s="34"/>
      <c r="L185" s="34"/>
    </row>
    <row r="186" spans="1:12">
      <c r="A186" s="28">
        <v>184</v>
      </c>
      <c r="B186" s="28" t="str">
        <f t="shared" si="2"/>
        <v>0x00B8</v>
      </c>
      <c r="C186" s="28"/>
      <c r="D186" s="28"/>
      <c r="E186" s="61"/>
      <c r="F186" s="62"/>
      <c r="G186" s="62"/>
      <c r="H186" s="62"/>
      <c r="I186" s="62"/>
      <c r="J186" s="62"/>
      <c r="K186" s="62"/>
      <c r="L186" s="63"/>
    </row>
    <row r="187" spans="1:12">
      <c r="A187" s="28">
        <v>185</v>
      </c>
      <c r="B187" s="28" t="str">
        <f t="shared" si="2"/>
        <v>0x00B9</v>
      </c>
      <c r="C187" s="28"/>
      <c r="D187" s="28"/>
      <c r="E187" s="61"/>
      <c r="F187" s="62"/>
      <c r="G187" s="62"/>
      <c r="H187" s="62"/>
      <c r="I187" s="62"/>
      <c r="J187" s="62"/>
      <c r="K187" s="62"/>
      <c r="L187" s="63"/>
    </row>
    <row r="188" spans="1:12">
      <c r="A188" s="28">
        <v>186</v>
      </c>
      <c r="B188" s="28" t="str">
        <f t="shared" si="2"/>
        <v>0x00BA</v>
      </c>
      <c r="C188" s="28"/>
      <c r="D188" s="28"/>
      <c r="E188" s="61"/>
      <c r="F188" s="62"/>
      <c r="G188" s="62"/>
      <c r="H188" s="62"/>
      <c r="I188" s="62"/>
      <c r="J188" s="62"/>
      <c r="K188" s="62"/>
      <c r="L188" s="63"/>
    </row>
    <row r="189" spans="1:12">
      <c r="A189" s="28">
        <v>187</v>
      </c>
      <c r="B189" s="28" t="str">
        <f t="shared" si="2"/>
        <v>0x00BB</v>
      </c>
      <c r="C189" s="28"/>
      <c r="D189" s="28"/>
      <c r="E189" s="61"/>
      <c r="F189" s="62"/>
      <c r="G189" s="62"/>
      <c r="H189" s="62"/>
      <c r="I189" s="62"/>
      <c r="J189" s="62"/>
      <c r="K189" s="62"/>
      <c r="L189" s="63"/>
    </row>
    <row r="190" spans="1:12">
      <c r="A190" s="28">
        <v>188</v>
      </c>
      <c r="B190" s="28" t="str">
        <f t="shared" si="2"/>
        <v>0x00BC</v>
      </c>
      <c r="C190" s="28"/>
      <c r="D190" s="28"/>
      <c r="E190" s="61"/>
      <c r="F190" s="62"/>
      <c r="G190" s="62"/>
      <c r="H190" s="62"/>
      <c r="I190" s="62"/>
      <c r="J190" s="62"/>
      <c r="K190" s="62"/>
      <c r="L190" s="63"/>
    </row>
    <row r="191" spans="1:12">
      <c r="A191" s="28">
        <v>189</v>
      </c>
      <c r="B191" s="28" t="str">
        <f t="shared" si="2"/>
        <v>0x00BD</v>
      </c>
      <c r="C191" s="28"/>
      <c r="D191" s="28"/>
      <c r="E191" s="61"/>
      <c r="F191" s="62"/>
      <c r="G191" s="62"/>
      <c r="H191" s="62"/>
      <c r="I191" s="62"/>
      <c r="J191" s="62"/>
      <c r="K191" s="62"/>
      <c r="L191" s="63"/>
    </row>
    <row r="192" spans="1:12">
      <c r="A192" s="28">
        <v>190</v>
      </c>
      <c r="B192" s="28" t="str">
        <f t="shared" si="2"/>
        <v>0x00BE</v>
      </c>
      <c r="C192" s="28"/>
      <c r="D192" s="28"/>
      <c r="E192" s="61"/>
      <c r="F192" s="62"/>
      <c r="G192" s="62"/>
      <c r="H192" s="62"/>
      <c r="I192" s="62"/>
      <c r="J192" s="62"/>
      <c r="K192" s="62"/>
      <c r="L192" s="63"/>
    </row>
    <row r="193" spans="1:12">
      <c r="A193" s="28">
        <v>191</v>
      </c>
      <c r="B193" s="28" t="str">
        <f t="shared" si="2"/>
        <v>0x00BF</v>
      </c>
      <c r="C193" s="28"/>
      <c r="D193" s="28"/>
      <c r="E193" s="61"/>
      <c r="F193" s="62"/>
      <c r="G193" s="62"/>
      <c r="H193" s="62"/>
      <c r="I193" s="62"/>
      <c r="J193" s="62"/>
      <c r="K193" s="62"/>
      <c r="L193" s="63"/>
    </row>
    <row r="194" spans="1:12">
      <c r="A194" s="28">
        <v>192</v>
      </c>
      <c r="B194" s="28" t="str">
        <f t="shared" si="2"/>
        <v>0x00C0</v>
      </c>
      <c r="C194" s="28"/>
      <c r="D194" s="28"/>
      <c r="E194" s="61"/>
      <c r="F194" s="62"/>
      <c r="G194" s="62"/>
      <c r="H194" s="62"/>
      <c r="I194" s="62"/>
      <c r="J194" s="62"/>
      <c r="K194" s="62"/>
      <c r="L194" s="63"/>
    </row>
    <row r="195" spans="1:12">
      <c r="A195" s="28">
        <v>193</v>
      </c>
      <c r="B195" s="28" t="str">
        <f t="shared" ref="B195:B258" si="3">CONCATENATE("0x",DEC2HEX(A195,4))</f>
        <v>0x00C1</v>
      </c>
      <c r="C195" s="28"/>
      <c r="D195" s="28"/>
      <c r="E195" s="61"/>
      <c r="F195" s="62"/>
      <c r="G195" s="62"/>
      <c r="H195" s="62"/>
      <c r="I195" s="62"/>
      <c r="J195" s="62"/>
      <c r="K195" s="62"/>
      <c r="L195" s="63"/>
    </row>
    <row r="196" spans="1:12">
      <c r="A196" s="28">
        <v>194</v>
      </c>
      <c r="B196" s="28" t="str">
        <f t="shared" si="3"/>
        <v>0x00C2</v>
      </c>
      <c r="C196" s="28"/>
      <c r="D196" s="28"/>
      <c r="E196" s="61"/>
      <c r="F196" s="62"/>
      <c r="G196" s="62"/>
      <c r="H196" s="62"/>
      <c r="I196" s="62"/>
      <c r="J196" s="62"/>
      <c r="K196" s="62"/>
      <c r="L196" s="63"/>
    </row>
    <row r="197" spans="1:12">
      <c r="A197" s="28">
        <v>195</v>
      </c>
      <c r="B197" s="28" t="str">
        <f t="shared" si="3"/>
        <v>0x00C3</v>
      </c>
      <c r="C197" s="28"/>
      <c r="D197" s="28"/>
      <c r="E197" s="61"/>
      <c r="F197" s="62"/>
      <c r="G197" s="62"/>
      <c r="H197" s="62"/>
      <c r="I197" s="62"/>
      <c r="J197" s="62"/>
      <c r="K197" s="62"/>
      <c r="L197" s="63"/>
    </row>
    <row r="198" spans="1:12">
      <c r="A198" s="28">
        <v>196</v>
      </c>
      <c r="B198" s="28" t="str">
        <f t="shared" si="3"/>
        <v>0x00C4</v>
      </c>
      <c r="C198" s="28"/>
      <c r="D198" s="28"/>
      <c r="E198" s="61"/>
      <c r="F198" s="62"/>
      <c r="G198" s="62"/>
      <c r="H198" s="62"/>
      <c r="I198" s="62"/>
      <c r="J198" s="62"/>
      <c r="K198" s="62"/>
      <c r="L198" s="63"/>
    </row>
    <row r="199" spans="1:12">
      <c r="A199" s="28">
        <v>197</v>
      </c>
      <c r="B199" s="28" t="str">
        <f t="shared" si="3"/>
        <v>0x00C5</v>
      </c>
      <c r="C199" s="28"/>
      <c r="D199" s="28"/>
      <c r="E199" s="61"/>
      <c r="F199" s="62"/>
      <c r="G199" s="62"/>
      <c r="H199" s="62"/>
      <c r="I199" s="62"/>
      <c r="J199" s="62"/>
      <c r="K199" s="62"/>
      <c r="L199" s="63"/>
    </row>
    <row r="200" spans="1:12">
      <c r="A200" s="28">
        <v>198</v>
      </c>
      <c r="B200" s="28" t="str">
        <f t="shared" si="3"/>
        <v>0x00C6</v>
      </c>
      <c r="C200" s="28"/>
      <c r="D200" s="28"/>
      <c r="E200" s="61"/>
      <c r="F200" s="62"/>
      <c r="G200" s="62"/>
      <c r="H200" s="62"/>
      <c r="I200" s="62"/>
      <c r="J200" s="62"/>
      <c r="K200" s="62"/>
      <c r="L200" s="63"/>
    </row>
    <row r="201" spans="1:12">
      <c r="A201" s="28">
        <v>199</v>
      </c>
      <c r="B201" s="28" t="str">
        <f t="shared" si="3"/>
        <v>0x00C7</v>
      </c>
      <c r="C201" s="28"/>
      <c r="D201" s="28"/>
      <c r="E201" s="61"/>
      <c r="F201" s="62"/>
      <c r="G201" s="62"/>
      <c r="H201" s="62"/>
      <c r="I201" s="62"/>
      <c r="J201" s="62"/>
      <c r="K201" s="62"/>
      <c r="L201" s="63"/>
    </row>
    <row r="202" spans="1:12">
      <c r="A202" s="28">
        <v>200</v>
      </c>
      <c r="B202" s="28" t="str">
        <f t="shared" si="3"/>
        <v>0x00C8</v>
      </c>
      <c r="C202" s="28"/>
      <c r="D202" s="28"/>
      <c r="E202" s="61"/>
      <c r="F202" s="62"/>
      <c r="G202" s="62"/>
      <c r="H202" s="62"/>
      <c r="I202" s="62"/>
      <c r="J202" s="62"/>
      <c r="K202" s="62"/>
      <c r="L202" s="63"/>
    </row>
    <row r="203" spans="1:12">
      <c r="A203" s="28">
        <v>201</v>
      </c>
      <c r="B203" s="28" t="str">
        <f t="shared" si="3"/>
        <v>0x00C9</v>
      </c>
      <c r="C203" s="28"/>
      <c r="D203" s="28"/>
      <c r="E203" s="61"/>
      <c r="F203" s="62"/>
      <c r="G203" s="62"/>
      <c r="H203" s="62"/>
      <c r="I203" s="62"/>
      <c r="J203" s="62"/>
      <c r="K203" s="62"/>
      <c r="L203" s="63"/>
    </row>
    <row r="204" spans="1:12">
      <c r="A204" s="28">
        <v>202</v>
      </c>
      <c r="B204" s="28" t="str">
        <f t="shared" si="3"/>
        <v>0x00CA</v>
      </c>
      <c r="C204" s="28"/>
      <c r="D204" s="28"/>
      <c r="E204" s="61"/>
      <c r="F204" s="62"/>
      <c r="G204" s="62"/>
      <c r="H204" s="62"/>
      <c r="I204" s="62"/>
      <c r="J204" s="62"/>
      <c r="K204" s="62"/>
      <c r="L204" s="63"/>
    </row>
    <row r="205" spans="1:12">
      <c r="A205" s="28">
        <v>203</v>
      </c>
      <c r="B205" s="28" t="str">
        <f t="shared" si="3"/>
        <v>0x00CB</v>
      </c>
      <c r="C205" s="28"/>
      <c r="D205" s="28"/>
      <c r="E205" s="61"/>
      <c r="F205" s="62"/>
      <c r="G205" s="62"/>
      <c r="H205" s="62"/>
      <c r="I205" s="62"/>
      <c r="J205" s="62"/>
      <c r="K205" s="62"/>
      <c r="L205" s="63"/>
    </row>
    <row r="206" ht="15.75" spans="1:12">
      <c r="A206" s="28">
        <v>204</v>
      </c>
      <c r="B206" s="28" t="str">
        <f t="shared" si="3"/>
        <v>0x00CC</v>
      </c>
      <c r="C206" s="28"/>
      <c r="D206" s="28"/>
      <c r="E206" s="69"/>
      <c r="F206" s="62"/>
      <c r="G206" s="62"/>
      <c r="H206" s="62"/>
      <c r="I206" s="62"/>
      <c r="J206" s="62"/>
      <c r="K206" s="62"/>
      <c r="L206" s="63"/>
    </row>
    <row r="207" ht="15.75" spans="1:12">
      <c r="A207" s="28">
        <v>205</v>
      </c>
      <c r="B207" s="28" t="str">
        <f t="shared" si="3"/>
        <v>0x00CD</v>
      </c>
      <c r="C207" s="28"/>
      <c r="D207" s="28"/>
      <c r="E207" s="69"/>
      <c r="F207" s="62"/>
      <c r="G207" s="62"/>
      <c r="H207" s="62"/>
      <c r="I207" s="62"/>
      <c r="J207" s="62"/>
      <c r="K207" s="62"/>
      <c r="L207" s="63"/>
    </row>
    <row r="208" ht="15.75" spans="1:12">
      <c r="A208" s="28">
        <v>206</v>
      </c>
      <c r="B208" s="28" t="str">
        <f t="shared" si="3"/>
        <v>0x00CE</v>
      </c>
      <c r="C208" s="28"/>
      <c r="D208" s="28"/>
      <c r="E208" s="69"/>
      <c r="F208" s="62"/>
      <c r="G208" s="62"/>
      <c r="H208" s="62"/>
      <c r="I208" s="62"/>
      <c r="J208" s="62"/>
      <c r="K208" s="62"/>
      <c r="L208" s="63"/>
    </row>
    <row r="209" ht="15.75" spans="1:12">
      <c r="A209" s="28">
        <v>207</v>
      </c>
      <c r="B209" s="28" t="str">
        <f t="shared" si="3"/>
        <v>0x00CF</v>
      </c>
      <c r="C209" s="28"/>
      <c r="D209" s="28"/>
      <c r="E209" s="69"/>
      <c r="F209" s="62"/>
      <c r="G209" s="62"/>
      <c r="H209" s="62"/>
      <c r="I209" s="62"/>
      <c r="J209" s="62"/>
      <c r="K209" s="62"/>
      <c r="L209" s="63"/>
    </row>
    <row r="210" ht="15.75" spans="1:12">
      <c r="A210" s="28">
        <v>208</v>
      </c>
      <c r="B210" s="28" t="str">
        <f t="shared" si="3"/>
        <v>0x00D0</v>
      </c>
      <c r="C210" s="28"/>
      <c r="D210" s="28"/>
      <c r="E210" s="70"/>
      <c r="F210" s="30"/>
      <c r="G210" s="30"/>
      <c r="H210" s="30"/>
      <c r="I210" s="30"/>
      <c r="J210" s="30"/>
      <c r="K210" s="30"/>
      <c r="L210" s="30"/>
    </row>
    <row r="211" ht="15.75" spans="1:12">
      <c r="A211" s="28">
        <v>209</v>
      </c>
      <c r="B211" s="28" t="str">
        <f t="shared" si="3"/>
        <v>0x00D1</v>
      </c>
      <c r="C211" s="28"/>
      <c r="D211" s="28"/>
      <c r="E211" s="70"/>
      <c r="F211" s="30"/>
      <c r="G211" s="30"/>
      <c r="H211" s="30"/>
      <c r="I211" s="30"/>
      <c r="J211" s="30"/>
      <c r="K211" s="30"/>
      <c r="L211" s="30"/>
    </row>
    <row r="212" ht="15.75" spans="1:12">
      <c r="A212" s="28">
        <v>210</v>
      </c>
      <c r="B212" s="28" t="str">
        <f t="shared" si="3"/>
        <v>0x00D2</v>
      </c>
      <c r="C212" s="28"/>
      <c r="D212" s="28"/>
      <c r="E212" s="70"/>
      <c r="F212" s="30"/>
      <c r="G212" s="30"/>
      <c r="H212" s="30"/>
      <c r="I212" s="30"/>
      <c r="J212" s="30"/>
      <c r="K212" s="30"/>
      <c r="L212" s="30"/>
    </row>
    <row r="213" ht="15.75" spans="1:12">
      <c r="A213" s="28">
        <v>211</v>
      </c>
      <c r="B213" s="28" t="str">
        <f t="shared" si="3"/>
        <v>0x00D3</v>
      </c>
      <c r="C213" s="28"/>
      <c r="D213" s="28"/>
      <c r="E213" s="70"/>
      <c r="F213" s="30"/>
      <c r="G213" s="30"/>
      <c r="H213" s="30"/>
      <c r="I213" s="30"/>
      <c r="J213" s="30"/>
      <c r="K213" s="30"/>
      <c r="L213" s="30"/>
    </row>
    <row r="214" ht="15.75" spans="1:12">
      <c r="A214" s="28">
        <v>212</v>
      </c>
      <c r="B214" s="28" t="str">
        <f t="shared" si="3"/>
        <v>0x00D4</v>
      </c>
      <c r="C214" s="28"/>
      <c r="D214" s="28"/>
      <c r="E214" s="69"/>
      <c r="F214" s="62"/>
      <c r="G214" s="62"/>
      <c r="H214" s="62"/>
      <c r="I214" s="62"/>
      <c r="J214" s="62"/>
      <c r="K214" s="62"/>
      <c r="L214" s="63"/>
    </row>
    <row r="215" ht="15.75" spans="1:12">
      <c r="A215" s="28">
        <v>213</v>
      </c>
      <c r="B215" s="28" t="str">
        <f t="shared" si="3"/>
        <v>0x00D5</v>
      </c>
      <c r="C215" s="28"/>
      <c r="D215" s="28"/>
      <c r="E215" s="69"/>
      <c r="F215" s="62"/>
      <c r="G215" s="62"/>
      <c r="H215" s="62"/>
      <c r="I215" s="62"/>
      <c r="J215" s="62"/>
      <c r="K215" s="62"/>
      <c r="L215" s="63"/>
    </row>
    <row r="216" ht="15.75" spans="1:12">
      <c r="A216" s="28">
        <v>214</v>
      </c>
      <c r="B216" s="28" t="str">
        <f t="shared" si="3"/>
        <v>0x00D6</v>
      </c>
      <c r="C216" s="28"/>
      <c r="D216" s="28"/>
      <c r="E216" s="69"/>
      <c r="F216" s="62"/>
      <c r="G216" s="62"/>
      <c r="H216" s="62"/>
      <c r="I216" s="62"/>
      <c r="J216" s="62"/>
      <c r="K216" s="62"/>
      <c r="L216" s="63"/>
    </row>
    <row r="217" ht="15.75" spans="1:12">
      <c r="A217" s="28">
        <v>215</v>
      </c>
      <c r="B217" s="28" t="str">
        <f t="shared" si="3"/>
        <v>0x00D7</v>
      </c>
      <c r="C217" s="28"/>
      <c r="D217" s="28"/>
      <c r="E217" s="69"/>
      <c r="F217" s="62"/>
      <c r="G217" s="62"/>
      <c r="H217" s="62"/>
      <c r="I217" s="62"/>
      <c r="J217" s="62"/>
      <c r="K217" s="62"/>
      <c r="L217" s="63"/>
    </row>
    <row r="218" spans="1:12">
      <c r="A218" s="28">
        <v>216</v>
      </c>
      <c r="B218" s="28" t="str">
        <f t="shared" si="3"/>
        <v>0x00D8</v>
      </c>
      <c r="C218" s="47" t="s">
        <v>1122</v>
      </c>
      <c r="D218" s="28" t="s">
        <v>1123</v>
      </c>
      <c r="E218" s="34"/>
      <c r="F218" s="34"/>
      <c r="G218" s="34"/>
      <c r="H218" s="34"/>
      <c r="I218" s="30" t="s">
        <v>1124</v>
      </c>
      <c r="J218" s="30"/>
      <c r="K218" s="30"/>
      <c r="L218" s="30"/>
    </row>
    <row r="219" spans="1:12">
      <c r="A219" s="28">
        <v>217</v>
      </c>
      <c r="B219" s="28" t="str">
        <f t="shared" si="3"/>
        <v>0x00D9</v>
      </c>
      <c r="C219" s="64"/>
      <c r="D219" s="28" t="s">
        <v>1125</v>
      </c>
      <c r="E219" s="34"/>
      <c r="F219" s="34"/>
      <c r="G219" s="34"/>
      <c r="H219" s="34"/>
      <c r="I219" s="30" t="s">
        <v>1126</v>
      </c>
      <c r="J219" s="30"/>
      <c r="K219" s="30"/>
      <c r="L219" s="30"/>
    </row>
    <row r="220" spans="1:12">
      <c r="A220" s="28">
        <v>218</v>
      </c>
      <c r="B220" s="28" t="str">
        <f t="shared" si="3"/>
        <v>0x00DA</v>
      </c>
      <c r="C220" s="64"/>
      <c r="D220" s="28" t="s">
        <v>1127</v>
      </c>
      <c r="E220" s="34"/>
      <c r="F220" s="34"/>
      <c r="G220" s="34"/>
      <c r="H220" s="34"/>
      <c r="I220" s="30" t="s">
        <v>1128</v>
      </c>
      <c r="J220" s="30"/>
      <c r="K220" s="30"/>
      <c r="L220" s="30"/>
    </row>
    <row r="221" spans="1:12">
      <c r="A221" s="28">
        <v>219</v>
      </c>
      <c r="B221" s="28" t="str">
        <f t="shared" si="3"/>
        <v>0x00DB</v>
      </c>
      <c r="C221" s="54"/>
      <c r="D221" s="28" t="s">
        <v>1129</v>
      </c>
      <c r="E221" s="34"/>
      <c r="F221" s="34"/>
      <c r="G221" s="34"/>
      <c r="H221" s="34"/>
      <c r="I221" s="30" t="s">
        <v>1130</v>
      </c>
      <c r="J221" s="30"/>
      <c r="K221" s="30"/>
      <c r="L221" s="30"/>
    </row>
    <row r="222" spans="1:12">
      <c r="A222" s="28">
        <v>220</v>
      </c>
      <c r="B222" s="28" t="str">
        <f t="shared" si="3"/>
        <v>0x00DC</v>
      </c>
      <c r="C222" s="47" t="s">
        <v>1131</v>
      </c>
      <c r="D222" s="28" t="s">
        <v>1132</v>
      </c>
      <c r="E222" s="34"/>
      <c r="F222" s="34"/>
      <c r="G222" s="34"/>
      <c r="H222" s="34"/>
      <c r="I222" s="30" t="s">
        <v>1133</v>
      </c>
      <c r="J222" s="30"/>
      <c r="K222" s="30"/>
      <c r="L222" s="30"/>
    </row>
    <row r="223" spans="1:12">
      <c r="A223" s="28">
        <v>221</v>
      </c>
      <c r="B223" s="28" t="str">
        <f t="shared" si="3"/>
        <v>0x00DD</v>
      </c>
      <c r="C223" s="64"/>
      <c r="D223" s="28" t="s">
        <v>1134</v>
      </c>
      <c r="E223" s="34"/>
      <c r="F223" s="34"/>
      <c r="G223" s="34"/>
      <c r="H223" s="34"/>
      <c r="I223" s="30" t="s">
        <v>1135</v>
      </c>
      <c r="J223" s="30"/>
      <c r="K223" s="30"/>
      <c r="L223" s="30"/>
    </row>
    <row r="224" spans="1:12">
      <c r="A224" s="28">
        <v>222</v>
      </c>
      <c r="B224" s="28" t="str">
        <f t="shared" si="3"/>
        <v>0x00DE</v>
      </c>
      <c r="C224" s="64"/>
      <c r="D224" s="28" t="s">
        <v>1136</v>
      </c>
      <c r="E224" s="34"/>
      <c r="F224" s="34"/>
      <c r="G224" s="34"/>
      <c r="H224" s="34"/>
      <c r="I224" s="30" t="s">
        <v>1137</v>
      </c>
      <c r="J224" s="30"/>
      <c r="K224" s="30"/>
      <c r="L224" s="30"/>
    </row>
    <row r="225" spans="1:12">
      <c r="A225" s="28">
        <v>223</v>
      </c>
      <c r="B225" s="28" t="str">
        <f t="shared" si="3"/>
        <v>0x00DF</v>
      </c>
      <c r="C225" s="54"/>
      <c r="D225" s="28" t="s">
        <v>1138</v>
      </c>
      <c r="E225" s="34"/>
      <c r="F225" s="34"/>
      <c r="G225" s="34"/>
      <c r="H225" s="34"/>
      <c r="I225" s="30" t="s">
        <v>1139</v>
      </c>
      <c r="J225" s="30"/>
      <c r="K225" s="30"/>
      <c r="L225" s="30"/>
    </row>
    <row r="226" spans="1:12">
      <c r="A226" s="28">
        <v>224</v>
      </c>
      <c r="B226" s="28" t="str">
        <f t="shared" si="3"/>
        <v>0x00E0</v>
      </c>
      <c r="C226" s="47" t="s">
        <v>1140</v>
      </c>
      <c r="D226" s="28" t="s">
        <v>1141</v>
      </c>
      <c r="E226" s="34"/>
      <c r="F226" s="34"/>
      <c r="G226" s="34"/>
      <c r="H226" s="34"/>
      <c r="I226" s="30" t="s">
        <v>1142</v>
      </c>
      <c r="J226" s="30"/>
      <c r="K226" s="30"/>
      <c r="L226" s="30"/>
    </row>
    <row r="227" spans="1:12">
      <c r="A227" s="28">
        <v>225</v>
      </c>
      <c r="B227" s="28" t="str">
        <f t="shared" si="3"/>
        <v>0x00E1</v>
      </c>
      <c r="C227" s="64"/>
      <c r="D227" s="28" t="s">
        <v>1143</v>
      </c>
      <c r="E227" s="34"/>
      <c r="F227" s="34"/>
      <c r="G227" s="34"/>
      <c r="H227" s="34"/>
      <c r="I227" s="30" t="s">
        <v>1144</v>
      </c>
      <c r="J227" s="30"/>
      <c r="K227" s="30"/>
      <c r="L227" s="30"/>
    </row>
    <row r="228" spans="1:12">
      <c r="A228" s="28">
        <v>226</v>
      </c>
      <c r="B228" s="28" t="str">
        <f t="shared" si="3"/>
        <v>0x00E2</v>
      </c>
      <c r="C228" s="64"/>
      <c r="D228" s="28" t="s">
        <v>1145</v>
      </c>
      <c r="E228" s="34"/>
      <c r="F228" s="34"/>
      <c r="G228" s="34"/>
      <c r="H228" s="34"/>
      <c r="I228" s="30" t="s">
        <v>1146</v>
      </c>
      <c r="J228" s="30"/>
      <c r="K228" s="30"/>
      <c r="L228" s="30"/>
    </row>
    <row r="229" spans="1:12">
      <c r="A229" s="28">
        <v>227</v>
      </c>
      <c r="B229" s="28" t="str">
        <f t="shared" si="3"/>
        <v>0x00E3</v>
      </c>
      <c r="C229" s="54"/>
      <c r="D229" s="28" t="s">
        <v>1147</v>
      </c>
      <c r="E229" s="34"/>
      <c r="F229" s="34"/>
      <c r="G229" s="34"/>
      <c r="H229" s="34"/>
      <c r="I229" s="30" t="s">
        <v>1148</v>
      </c>
      <c r="J229" s="30"/>
      <c r="K229" s="30"/>
      <c r="L229" s="30"/>
    </row>
    <row r="230" spans="1:12">
      <c r="A230" s="28">
        <v>228</v>
      </c>
      <c r="B230" s="28" t="str">
        <f t="shared" si="3"/>
        <v>0x00E4</v>
      </c>
      <c r="C230" s="47" t="s">
        <v>1149</v>
      </c>
      <c r="D230" s="28" t="s">
        <v>1150</v>
      </c>
      <c r="E230" s="34"/>
      <c r="F230" s="34"/>
      <c r="G230" s="34"/>
      <c r="H230" s="34"/>
      <c r="I230" s="30" t="s">
        <v>1151</v>
      </c>
      <c r="J230" s="30"/>
      <c r="K230" s="30"/>
      <c r="L230" s="30"/>
    </row>
    <row r="231" spans="1:12">
      <c r="A231" s="28">
        <v>229</v>
      </c>
      <c r="B231" s="28" t="str">
        <f t="shared" si="3"/>
        <v>0x00E5</v>
      </c>
      <c r="C231" s="64"/>
      <c r="D231" s="28" t="s">
        <v>1152</v>
      </c>
      <c r="E231" s="34"/>
      <c r="F231" s="34"/>
      <c r="G231" s="34"/>
      <c r="H231" s="34"/>
      <c r="I231" s="30" t="s">
        <v>1153</v>
      </c>
      <c r="J231" s="30"/>
      <c r="K231" s="30"/>
      <c r="L231" s="30"/>
    </row>
    <row r="232" spans="1:12">
      <c r="A232" s="28">
        <v>230</v>
      </c>
      <c r="B232" s="28" t="str">
        <f t="shared" si="3"/>
        <v>0x00E6</v>
      </c>
      <c r="C232" s="64"/>
      <c r="D232" s="28" t="s">
        <v>1154</v>
      </c>
      <c r="E232" s="34"/>
      <c r="F232" s="34"/>
      <c r="G232" s="34"/>
      <c r="H232" s="34"/>
      <c r="I232" s="30" t="s">
        <v>1155</v>
      </c>
      <c r="J232" s="30"/>
      <c r="K232" s="30"/>
      <c r="L232" s="30"/>
    </row>
    <row r="233" spans="1:12">
      <c r="A233" s="28">
        <v>231</v>
      </c>
      <c r="B233" s="28" t="str">
        <f t="shared" si="3"/>
        <v>0x00E7</v>
      </c>
      <c r="C233" s="54"/>
      <c r="D233" s="28" t="s">
        <v>1156</v>
      </c>
      <c r="E233" s="34"/>
      <c r="F233" s="34"/>
      <c r="G233" s="34"/>
      <c r="H233" s="34"/>
      <c r="I233" s="30" t="s">
        <v>1157</v>
      </c>
      <c r="J233" s="30"/>
      <c r="K233" s="30"/>
      <c r="L233" s="30"/>
    </row>
    <row r="234" spans="1:12">
      <c r="A234" s="28">
        <v>232</v>
      </c>
      <c r="B234" s="28" t="str">
        <f t="shared" si="3"/>
        <v>0x00E8</v>
      </c>
      <c r="C234" s="47" t="s">
        <v>1158</v>
      </c>
      <c r="D234" s="28" t="s">
        <v>1159</v>
      </c>
      <c r="E234" s="34"/>
      <c r="F234" s="34"/>
      <c r="G234" s="34"/>
      <c r="H234" s="34"/>
      <c r="I234" s="30" t="s">
        <v>1160</v>
      </c>
      <c r="J234" s="30"/>
      <c r="K234" s="30"/>
      <c r="L234" s="30"/>
    </row>
    <row r="235" spans="1:12">
      <c r="A235" s="28">
        <v>233</v>
      </c>
      <c r="B235" s="28" t="str">
        <f t="shared" si="3"/>
        <v>0x00E9</v>
      </c>
      <c r="C235" s="64"/>
      <c r="D235" s="28" t="s">
        <v>1161</v>
      </c>
      <c r="E235" s="34"/>
      <c r="F235" s="34"/>
      <c r="G235" s="34"/>
      <c r="H235" s="34"/>
      <c r="I235" s="30" t="s">
        <v>1162</v>
      </c>
      <c r="J235" s="30"/>
      <c r="K235" s="30"/>
      <c r="L235" s="30"/>
    </row>
    <row r="236" spans="1:12">
      <c r="A236" s="28">
        <v>234</v>
      </c>
      <c r="B236" s="28" t="str">
        <f t="shared" si="3"/>
        <v>0x00EA</v>
      </c>
      <c r="C236" s="64"/>
      <c r="D236" s="28" t="s">
        <v>1163</v>
      </c>
      <c r="E236" s="34"/>
      <c r="F236" s="34"/>
      <c r="G236" s="34"/>
      <c r="H236" s="34"/>
      <c r="I236" s="30" t="s">
        <v>1164</v>
      </c>
      <c r="J236" s="30"/>
      <c r="K236" s="30"/>
      <c r="L236" s="30"/>
    </row>
    <row r="237" spans="1:12">
      <c r="A237" s="28">
        <v>235</v>
      </c>
      <c r="B237" s="28" t="str">
        <f t="shared" si="3"/>
        <v>0x00EB</v>
      </c>
      <c r="C237" s="54"/>
      <c r="D237" s="28" t="s">
        <v>1165</v>
      </c>
      <c r="E237" s="34"/>
      <c r="F237" s="34"/>
      <c r="G237" s="34"/>
      <c r="H237" s="34"/>
      <c r="I237" s="30" t="s">
        <v>1166</v>
      </c>
      <c r="J237" s="30"/>
      <c r="K237" s="30"/>
      <c r="L237" s="30"/>
    </row>
    <row r="238" spans="1:12">
      <c r="A238" s="28">
        <v>236</v>
      </c>
      <c r="B238" s="28" t="str">
        <f t="shared" si="3"/>
        <v>0x00EC</v>
      </c>
      <c r="C238" s="47" t="s">
        <v>1167</v>
      </c>
      <c r="D238" s="28" t="s">
        <v>1168</v>
      </c>
      <c r="E238" s="34"/>
      <c r="F238" s="34"/>
      <c r="G238" s="34"/>
      <c r="H238" s="34"/>
      <c r="I238" s="30" t="s">
        <v>1169</v>
      </c>
      <c r="J238" s="30"/>
      <c r="K238" s="30"/>
      <c r="L238" s="30"/>
    </row>
    <row r="239" spans="1:12">
      <c r="A239" s="28">
        <v>237</v>
      </c>
      <c r="B239" s="28" t="str">
        <f t="shared" si="3"/>
        <v>0x00ED</v>
      </c>
      <c r="C239" s="64"/>
      <c r="D239" s="28" t="s">
        <v>1170</v>
      </c>
      <c r="E239" s="34"/>
      <c r="F239" s="34"/>
      <c r="G239" s="34"/>
      <c r="H239" s="34"/>
      <c r="I239" s="30" t="s">
        <v>1171</v>
      </c>
      <c r="J239" s="30"/>
      <c r="K239" s="30"/>
      <c r="L239" s="30"/>
    </row>
    <row r="240" spans="1:12">
      <c r="A240" s="28">
        <v>238</v>
      </c>
      <c r="B240" s="28" t="str">
        <f t="shared" si="3"/>
        <v>0x00EE</v>
      </c>
      <c r="C240" s="64"/>
      <c r="D240" s="28" t="s">
        <v>1172</v>
      </c>
      <c r="E240" s="34"/>
      <c r="F240" s="34"/>
      <c r="G240" s="34"/>
      <c r="H240" s="34"/>
      <c r="I240" s="30" t="s">
        <v>1173</v>
      </c>
      <c r="J240" s="30"/>
      <c r="K240" s="30"/>
      <c r="L240" s="30"/>
    </row>
    <row r="241" spans="1:12">
      <c r="A241" s="28">
        <v>239</v>
      </c>
      <c r="B241" s="28" t="str">
        <f t="shared" si="3"/>
        <v>0x00EF</v>
      </c>
      <c r="C241" s="54"/>
      <c r="D241" s="28" t="s">
        <v>1174</v>
      </c>
      <c r="E241" s="34"/>
      <c r="F241" s="34"/>
      <c r="G241" s="34"/>
      <c r="H241" s="34"/>
      <c r="I241" s="30" t="s">
        <v>1175</v>
      </c>
      <c r="J241" s="30"/>
      <c r="K241" s="30"/>
      <c r="L241" s="30"/>
    </row>
    <row r="242" spans="1:12">
      <c r="A242" s="28">
        <v>240</v>
      </c>
      <c r="B242" s="28" t="str">
        <f t="shared" si="3"/>
        <v>0x00F0</v>
      </c>
      <c r="C242" s="47" t="s">
        <v>1176</v>
      </c>
      <c r="D242" s="28" t="s">
        <v>1177</v>
      </c>
      <c r="E242" s="34"/>
      <c r="F242" s="34"/>
      <c r="G242" s="34"/>
      <c r="H242" s="34"/>
      <c r="I242" s="30" t="s">
        <v>1178</v>
      </c>
      <c r="J242" s="30"/>
      <c r="K242" s="30"/>
      <c r="L242" s="30"/>
    </row>
    <row r="243" spans="1:12">
      <c r="A243" s="28">
        <v>241</v>
      </c>
      <c r="B243" s="28" t="str">
        <f t="shared" si="3"/>
        <v>0x00F1</v>
      </c>
      <c r="C243" s="64"/>
      <c r="D243" s="28" t="s">
        <v>1179</v>
      </c>
      <c r="E243" s="34"/>
      <c r="F243" s="34"/>
      <c r="G243" s="34"/>
      <c r="H243" s="34"/>
      <c r="I243" s="30" t="s">
        <v>1180</v>
      </c>
      <c r="J243" s="30"/>
      <c r="K243" s="30"/>
      <c r="L243" s="30"/>
    </row>
    <row r="244" spans="1:12">
      <c r="A244" s="28">
        <v>242</v>
      </c>
      <c r="B244" s="28" t="str">
        <f t="shared" si="3"/>
        <v>0x00F2</v>
      </c>
      <c r="C244" s="64"/>
      <c r="D244" s="28" t="s">
        <v>1181</v>
      </c>
      <c r="E244" s="34"/>
      <c r="F244" s="34"/>
      <c r="G244" s="34"/>
      <c r="H244" s="34"/>
      <c r="I244" s="30" t="s">
        <v>1182</v>
      </c>
      <c r="J244" s="30"/>
      <c r="K244" s="30"/>
      <c r="L244" s="30"/>
    </row>
    <row r="245" spans="1:12">
      <c r="A245" s="28">
        <v>243</v>
      </c>
      <c r="B245" s="28" t="str">
        <f t="shared" si="3"/>
        <v>0x00F3</v>
      </c>
      <c r="C245" s="54"/>
      <c r="D245" s="28" t="s">
        <v>1183</v>
      </c>
      <c r="E245" s="34"/>
      <c r="F245" s="34"/>
      <c r="G245" s="34"/>
      <c r="H245" s="34"/>
      <c r="I245" s="30" t="s">
        <v>1184</v>
      </c>
      <c r="J245" s="30"/>
      <c r="K245" s="30"/>
      <c r="L245" s="30"/>
    </row>
    <row r="246" spans="1:12">
      <c r="A246" s="28">
        <v>244</v>
      </c>
      <c r="B246" s="28" t="str">
        <f t="shared" si="3"/>
        <v>0x00F4</v>
      </c>
      <c r="C246" s="47" t="s">
        <v>1185</v>
      </c>
      <c r="D246" s="28" t="s">
        <v>1186</v>
      </c>
      <c r="E246" s="34"/>
      <c r="F246" s="34"/>
      <c r="G246" s="34"/>
      <c r="H246" s="34"/>
      <c r="I246" s="30" t="s">
        <v>1187</v>
      </c>
      <c r="J246" s="30"/>
      <c r="K246" s="30"/>
      <c r="L246" s="30"/>
    </row>
    <row r="247" spans="1:12">
      <c r="A247" s="28">
        <v>245</v>
      </c>
      <c r="B247" s="28" t="str">
        <f t="shared" si="3"/>
        <v>0x00F5</v>
      </c>
      <c r="C247" s="64"/>
      <c r="D247" s="28" t="s">
        <v>1188</v>
      </c>
      <c r="E247" s="34"/>
      <c r="F247" s="34"/>
      <c r="G247" s="34"/>
      <c r="H247" s="34"/>
      <c r="I247" s="30" t="s">
        <v>1189</v>
      </c>
      <c r="J247" s="30"/>
      <c r="K247" s="30"/>
      <c r="L247" s="30"/>
    </row>
    <row r="248" spans="1:12">
      <c r="A248" s="28">
        <v>246</v>
      </c>
      <c r="B248" s="28" t="str">
        <f t="shared" si="3"/>
        <v>0x00F6</v>
      </c>
      <c r="C248" s="64"/>
      <c r="D248" s="28" t="s">
        <v>1190</v>
      </c>
      <c r="E248" s="34"/>
      <c r="F248" s="34"/>
      <c r="G248" s="34"/>
      <c r="H248" s="34"/>
      <c r="I248" s="30" t="s">
        <v>1191</v>
      </c>
      <c r="J248" s="30"/>
      <c r="K248" s="30"/>
      <c r="L248" s="30"/>
    </row>
    <row r="249" spans="1:12">
      <c r="A249" s="28">
        <v>247</v>
      </c>
      <c r="B249" s="28" t="str">
        <f t="shared" si="3"/>
        <v>0x00F7</v>
      </c>
      <c r="C249" s="54"/>
      <c r="D249" s="28" t="s">
        <v>1192</v>
      </c>
      <c r="E249" s="34"/>
      <c r="F249" s="34"/>
      <c r="G249" s="34"/>
      <c r="H249" s="34"/>
      <c r="I249" s="30" t="s">
        <v>1193</v>
      </c>
      <c r="J249" s="30"/>
      <c r="K249" s="30"/>
      <c r="L249" s="30"/>
    </row>
    <row r="250" spans="1:12">
      <c r="A250" s="28">
        <v>248</v>
      </c>
      <c r="B250" s="28" t="str">
        <f t="shared" si="3"/>
        <v>0x00F8</v>
      </c>
      <c r="C250" s="47" t="s">
        <v>1194</v>
      </c>
      <c r="D250" s="28" t="s">
        <v>1195</v>
      </c>
      <c r="E250" s="34"/>
      <c r="F250" s="34"/>
      <c r="G250" s="34"/>
      <c r="H250" s="34"/>
      <c r="I250" s="30" t="s">
        <v>1196</v>
      </c>
      <c r="J250" s="30"/>
      <c r="K250" s="30"/>
      <c r="L250" s="30"/>
    </row>
    <row r="251" spans="1:12">
      <c r="A251" s="28">
        <v>249</v>
      </c>
      <c r="B251" s="28" t="str">
        <f t="shared" si="3"/>
        <v>0x00F9</v>
      </c>
      <c r="C251" s="64"/>
      <c r="D251" s="28" t="s">
        <v>1197</v>
      </c>
      <c r="E251" s="34"/>
      <c r="F251" s="34"/>
      <c r="G251" s="34"/>
      <c r="H251" s="34"/>
      <c r="I251" s="30" t="s">
        <v>1198</v>
      </c>
      <c r="J251" s="30"/>
      <c r="K251" s="30"/>
      <c r="L251" s="30"/>
    </row>
    <row r="252" spans="1:12">
      <c r="A252" s="28">
        <v>250</v>
      </c>
      <c r="B252" s="28" t="str">
        <f t="shared" si="3"/>
        <v>0x00FA</v>
      </c>
      <c r="C252" s="64"/>
      <c r="D252" s="28" t="s">
        <v>1199</v>
      </c>
      <c r="E252" s="34"/>
      <c r="F252" s="34"/>
      <c r="G252" s="34"/>
      <c r="H252" s="34"/>
      <c r="I252" s="30" t="s">
        <v>1200</v>
      </c>
      <c r="J252" s="30"/>
      <c r="K252" s="30"/>
      <c r="L252" s="30"/>
    </row>
    <row r="253" spans="1:12">
      <c r="A253" s="28">
        <v>251</v>
      </c>
      <c r="B253" s="28" t="str">
        <f t="shared" si="3"/>
        <v>0x00FB</v>
      </c>
      <c r="C253" s="54"/>
      <c r="D253" s="28" t="s">
        <v>1201</v>
      </c>
      <c r="E253" s="34"/>
      <c r="F253" s="34"/>
      <c r="G253" s="34"/>
      <c r="H253" s="34"/>
      <c r="I253" s="30" t="s">
        <v>1202</v>
      </c>
      <c r="J253" s="30"/>
      <c r="K253" s="30"/>
      <c r="L253" s="30"/>
    </row>
    <row r="254" spans="1:12">
      <c r="A254" s="28">
        <v>252</v>
      </c>
      <c r="B254" s="28" t="str">
        <f t="shared" si="3"/>
        <v>0x00FC</v>
      </c>
      <c r="C254" s="28" t="s">
        <v>1203</v>
      </c>
      <c r="D254" s="28" t="s">
        <v>1204</v>
      </c>
      <c r="E254" s="30" t="s">
        <v>1205</v>
      </c>
      <c r="F254" s="30"/>
      <c r="G254" s="30"/>
      <c r="H254" s="30"/>
      <c r="I254" s="30"/>
      <c r="J254" s="30"/>
      <c r="K254" s="30"/>
      <c r="L254" s="30"/>
    </row>
    <row r="255" spans="1:12">
      <c r="A255" s="28">
        <v>253</v>
      </c>
      <c r="B255" s="28" t="str">
        <f t="shared" si="3"/>
        <v>0x00FD</v>
      </c>
      <c r="C255" s="28"/>
      <c r="D255" s="28" t="s">
        <v>1206</v>
      </c>
      <c r="E255" s="51"/>
      <c r="F255" s="51"/>
      <c r="G255" s="51"/>
      <c r="H255" s="51"/>
      <c r="I255" s="51"/>
      <c r="J255" s="30" t="s">
        <v>1207</v>
      </c>
      <c r="K255" s="30"/>
      <c r="L255" s="30" t="s">
        <v>1208</v>
      </c>
    </row>
    <row r="256" spans="1:12">
      <c r="A256" s="28">
        <v>254</v>
      </c>
      <c r="B256" s="28" t="str">
        <f t="shared" si="3"/>
        <v>0x00FE</v>
      </c>
      <c r="C256" s="28"/>
      <c r="D256" s="28" t="s">
        <v>1209</v>
      </c>
      <c r="E256" s="34"/>
      <c r="F256" s="34"/>
      <c r="G256" s="34"/>
      <c r="H256" s="34"/>
      <c r="I256" s="28" t="s">
        <v>1210</v>
      </c>
      <c r="J256" s="28"/>
      <c r="K256" s="28" t="s">
        <v>1211</v>
      </c>
      <c r="L256" s="28"/>
    </row>
    <row r="257" spans="1:12">
      <c r="A257" s="28">
        <v>255</v>
      </c>
      <c r="B257" s="28" t="str">
        <f t="shared" si="3"/>
        <v>0x00FF</v>
      </c>
      <c r="C257" s="28"/>
      <c r="D257" s="29" t="s">
        <v>1212</v>
      </c>
      <c r="E257" s="34"/>
      <c r="F257" s="34"/>
      <c r="G257" s="34"/>
      <c r="H257" s="34"/>
      <c r="I257" s="34"/>
      <c r="J257" s="34"/>
      <c r="K257" s="34"/>
      <c r="L257" s="34"/>
    </row>
    <row r="258" spans="1:12">
      <c r="A258" s="28">
        <v>256</v>
      </c>
      <c r="B258" s="28" t="str">
        <f t="shared" si="3"/>
        <v>0x0100</v>
      </c>
      <c r="C258" s="28" t="s">
        <v>1213</v>
      </c>
      <c r="D258" s="28" t="s">
        <v>1214</v>
      </c>
      <c r="E258" s="30" t="s">
        <v>1215</v>
      </c>
      <c r="F258" s="30"/>
      <c r="G258" s="30"/>
      <c r="H258" s="30"/>
      <c r="I258" s="30"/>
      <c r="J258" s="30"/>
      <c r="K258" s="30"/>
      <c r="L258" s="30"/>
    </row>
    <row r="259" spans="1:12">
      <c r="A259" s="28">
        <v>257</v>
      </c>
      <c r="B259" s="28" t="str">
        <f t="shared" ref="B259:B269" si="4">CONCATENATE("0x",DEC2HEX(A259,4))</f>
        <v>0x0101</v>
      </c>
      <c r="C259" s="28"/>
      <c r="D259" s="28" t="s">
        <v>1216</v>
      </c>
      <c r="E259" s="34"/>
      <c r="F259" s="34"/>
      <c r="G259" s="34"/>
      <c r="H259" s="34"/>
      <c r="I259" s="34"/>
      <c r="J259" s="28" t="s">
        <v>1217</v>
      </c>
      <c r="K259" s="28"/>
      <c r="L259" s="30" t="s">
        <v>1218</v>
      </c>
    </row>
    <row r="260" spans="1:12">
      <c r="A260" s="28">
        <v>258</v>
      </c>
      <c r="B260" s="28" t="str">
        <f t="shared" si="4"/>
        <v>0x0102</v>
      </c>
      <c r="C260" s="28"/>
      <c r="D260" s="28" t="s">
        <v>1219</v>
      </c>
      <c r="E260" s="34"/>
      <c r="F260" s="34"/>
      <c r="G260" s="34"/>
      <c r="H260" s="34"/>
      <c r="I260" s="34"/>
      <c r="J260" s="34"/>
      <c r="K260" s="34"/>
      <c r="L260" s="34"/>
    </row>
    <row r="261" spans="1:12">
      <c r="A261" s="28">
        <v>259</v>
      </c>
      <c r="B261" s="28" t="str">
        <f t="shared" si="4"/>
        <v>0x0103</v>
      </c>
      <c r="C261" s="28"/>
      <c r="D261" s="28" t="s">
        <v>1220</v>
      </c>
      <c r="E261" s="34"/>
      <c r="F261" s="34"/>
      <c r="G261" s="34"/>
      <c r="H261" s="34"/>
      <c r="I261" s="34"/>
      <c r="J261" s="34"/>
      <c r="K261" s="34"/>
      <c r="L261" s="34"/>
    </row>
    <row r="262" spans="1:12">
      <c r="A262" s="28">
        <v>260</v>
      </c>
      <c r="B262" s="28" t="str">
        <f t="shared" si="4"/>
        <v>0x0104</v>
      </c>
      <c r="C262" s="28" t="s">
        <v>1221</v>
      </c>
      <c r="D262" s="28" t="s">
        <v>1222</v>
      </c>
      <c r="E262" s="34"/>
      <c r="F262" s="34"/>
      <c r="G262" s="34"/>
      <c r="H262" s="34"/>
      <c r="I262" s="30" t="s">
        <v>1223</v>
      </c>
      <c r="J262" s="30"/>
      <c r="K262" s="30"/>
      <c r="L262" s="30"/>
    </row>
    <row r="263" spans="1:12">
      <c r="A263" s="28">
        <v>261</v>
      </c>
      <c r="B263" s="28" t="str">
        <f t="shared" si="4"/>
        <v>0x0105</v>
      </c>
      <c r="C263" s="28"/>
      <c r="D263" s="28" t="s">
        <v>1224</v>
      </c>
      <c r="E263" s="34"/>
      <c r="F263" s="34"/>
      <c r="G263" s="34"/>
      <c r="H263" s="34"/>
      <c r="I263" s="30" t="s">
        <v>1225</v>
      </c>
      <c r="J263" s="30"/>
      <c r="K263" s="30"/>
      <c r="L263" s="30"/>
    </row>
    <row r="264" spans="1:12">
      <c r="A264" s="28">
        <v>262</v>
      </c>
      <c r="B264" s="28" t="str">
        <f t="shared" si="4"/>
        <v>0x0106</v>
      </c>
      <c r="C264" s="28"/>
      <c r="D264" s="28" t="s">
        <v>1226</v>
      </c>
      <c r="E264" s="34"/>
      <c r="F264" s="34"/>
      <c r="G264" s="34"/>
      <c r="H264" s="34"/>
      <c r="I264" s="34"/>
      <c r="J264" s="34"/>
      <c r="K264" s="34"/>
      <c r="L264" s="30" t="s">
        <v>1227</v>
      </c>
    </row>
    <row r="265" spans="1:12">
      <c r="A265" s="28">
        <v>263</v>
      </c>
      <c r="B265" s="28" t="str">
        <f t="shared" si="4"/>
        <v>0x0107</v>
      </c>
      <c r="C265" s="28"/>
      <c r="D265" s="28" t="s">
        <v>1228</v>
      </c>
      <c r="E265" s="34"/>
      <c r="F265" s="34"/>
      <c r="G265" s="34"/>
      <c r="H265" s="34"/>
      <c r="I265" s="34"/>
      <c r="J265" s="34"/>
      <c r="K265" s="34"/>
      <c r="L265" s="34"/>
    </row>
    <row r="266" spans="1:12">
      <c r="A266" s="28">
        <v>264</v>
      </c>
      <c r="B266" s="28" t="str">
        <f t="shared" si="4"/>
        <v>0x0108</v>
      </c>
      <c r="C266" s="28" t="s">
        <v>1229</v>
      </c>
      <c r="D266" s="28" t="s">
        <v>1230</v>
      </c>
      <c r="E266" s="34"/>
      <c r="F266" s="34"/>
      <c r="G266" s="34"/>
      <c r="H266" s="34"/>
      <c r="I266" s="34"/>
      <c r="J266" s="34"/>
      <c r="K266" s="34" t="s">
        <v>1231</v>
      </c>
      <c r="L266" s="34" t="s">
        <v>1232</v>
      </c>
    </row>
    <row r="267" spans="1:12">
      <c r="A267" s="28">
        <v>265</v>
      </c>
      <c r="B267" s="28" t="str">
        <f t="shared" si="4"/>
        <v>0x0109</v>
      </c>
      <c r="C267" s="28"/>
      <c r="D267" s="28" t="s">
        <v>1233</v>
      </c>
      <c r="E267" s="34"/>
      <c r="F267" s="34"/>
      <c r="G267" s="34"/>
      <c r="H267" s="34"/>
      <c r="I267" s="34"/>
      <c r="J267" s="30" t="s">
        <v>1234</v>
      </c>
      <c r="K267" s="30"/>
      <c r="L267" s="30"/>
    </row>
    <row r="268" spans="1:12">
      <c r="A268" s="28">
        <v>266</v>
      </c>
      <c r="B268" s="28" t="str">
        <f t="shared" si="4"/>
        <v>0x010A</v>
      </c>
      <c r="C268" s="28"/>
      <c r="D268" s="28" t="s">
        <v>1235</v>
      </c>
      <c r="E268" s="34"/>
      <c r="F268" s="34"/>
      <c r="G268" s="30" t="s">
        <v>1236</v>
      </c>
      <c r="H268" s="30"/>
      <c r="I268" s="30"/>
      <c r="J268" s="30"/>
      <c r="K268" s="30"/>
      <c r="L268" s="30"/>
    </row>
    <row r="269" spans="1:12">
      <c r="A269" s="28">
        <v>267</v>
      </c>
      <c r="B269" s="28" t="str">
        <f t="shared" si="4"/>
        <v>0x010B</v>
      </c>
      <c r="C269" s="28"/>
      <c r="D269" s="28" t="s">
        <v>1237</v>
      </c>
      <c r="E269" s="34"/>
      <c r="F269" s="34"/>
      <c r="G269" s="34"/>
      <c r="H269" s="34"/>
      <c r="I269" s="34"/>
      <c r="J269" s="34"/>
      <c r="K269" s="34"/>
      <c r="L269" s="28" t="s">
        <v>1238</v>
      </c>
    </row>
  </sheetData>
  <sheetProtection formatCells="0" formatColumns="0" formatRows="0" insertRows="0" insertColumns="0" insertHyperlinks="0" deleteColumns="0" deleteRows="0" sort="0" autoFilter="0" pivotTables="0"/>
  <mergeCells count="267">
    <mergeCell ref="E1:L1"/>
    <mergeCell ref="E2:L2"/>
    <mergeCell ref="E3:L3"/>
    <mergeCell ref="E4:L4"/>
    <mergeCell ref="E6:L6"/>
    <mergeCell ref="I7:L7"/>
    <mergeCell ref="I8:L8"/>
    <mergeCell ref="I9:L9"/>
    <mergeCell ref="K11:L11"/>
    <mergeCell ref="G14:L14"/>
    <mergeCell ref="H15:L15"/>
    <mergeCell ref="K16:L16"/>
    <mergeCell ref="J17:L17"/>
    <mergeCell ref="I18:L18"/>
    <mergeCell ref="I19:L19"/>
    <mergeCell ref="E22:L22"/>
    <mergeCell ref="H23:L23"/>
    <mergeCell ref="H26:L26"/>
    <mergeCell ref="H27:L27"/>
    <mergeCell ref="J28:L28"/>
    <mergeCell ref="J29:L29"/>
    <mergeCell ref="E30:L30"/>
    <mergeCell ref="F32:H32"/>
    <mergeCell ref="I32:J32"/>
    <mergeCell ref="K32:L32"/>
    <mergeCell ref="E33:F33"/>
    <mergeCell ref="G33:H33"/>
    <mergeCell ref="E34:L34"/>
    <mergeCell ref="E35:L35"/>
    <mergeCell ref="H36:L36"/>
    <mergeCell ref="F37:L37"/>
    <mergeCell ref="E38:L38"/>
    <mergeCell ref="E39:L39"/>
    <mergeCell ref="J40:L40"/>
    <mergeCell ref="E41:L41"/>
    <mergeCell ref="K42:L42"/>
    <mergeCell ref="E43:H43"/>
    <mergeCell ref="F44:L44"/>
    <mergeCell ref="E46:H46"/>
    <mergeCell ref="E48:H48"/>
    <mergeCell ref="G51:L51"/>
    <mergeCell ref="H52:L52"/>
    <mergeCell ref="H53:L53"/>
    <mergeCell ref="F54:H54"/>
    <mergeCell ref="H55:L55"/>
    <mergeCell ref="H56:L56"/>
    <mergeCell ref="H57:L57"/>
    <mergeCell ref="E58:L58"/>
    <mergeCell ref="E59:L59"/>
    <mergeCell ref="E60:L60"/>
    <mergeCell ref="E61:L61"/>
    <mergeCell ref="H68:J68"/>
    <mergeCell ref="K68:L68"/>
    <mergeCell ref="J70:L70"/>
    <mergeCell ref="K71:L71"/>
    <mergeCell ref="J73:K73"/>
    <mergeCell ref="G74:L74"/>
    <mergeCell ref="G75:L75"/>
    <mergeCell ref="F76:H76"/>
    <mergeCell ref="E78:L78"/>
    <mergeCell ref="I79:L79"/>
    <mergeCell ref="E82:L82"/>
    <mergeCell ref="K83:L83"/>
    <mergeCell ref="G84:H84"/>
    <mergeCell ref="I84:L84"/>
    <mergeCell ref="E85:H85"/>
    <mergeCell ref="I86:L86"/>
    <mergeCell ref="H87:L87"/>
    <mergeCell ref="E88:L88"/>
    <mergeCell ref="E90:L90"/>
    <mergeCell ref="E91:L91"/>
    <mergeCell ref="E92:L92"/>
    <mergeCell ref="E93:L93"/>
    <mergeCell ref="E98:L98"/>
    <mergeCell ref="E99:L99"/>
    <mergeCell ref="E100:L100"/>
    <mergeCell ref="E101:L101"/>
    <mergeCell ref="I102:L102"/>
    <mergeCell ref="E106:L106"/>
    <mergeCell ref="E107:L107"/>
    <mergeCell ref="E108:L108"/>
    <mergeCell ref="E109:L109"/>
    <mergeCell ref="I110:L110"/>
    <mergeCell ref="E114:L114"/>
    <mergeCell ref="E115:L115"/>
    <mergeCell ref="E116:L116"/>
    <mergeCell ref="E117:L117"/>
    <mergeCell ref="I118:L118"/>
    <mergeCell ref="E122:L122"/>
    <mergeCell ref="E123:L123"/>
    <mergeCell ref="E124:L124"/>
    <mergeCell ref="E125:L125"/>
    <mergeCell ref="I126:L126"/>
    <mergeCell ref="E130:L130"/>
    <mergeCell ref="E131:L131"/>
    <mergeCell ref="E132:L132"/>
    <mergeCell ref="E133:L133"/>
    <mergeCell ref="I134:L134"/>
    <mergeCell ref="E138:L138"/>
    <mergeCell ref="E139:L139"/>
    <mergeCell ref="E140:L140"/>
    <mergeCell ref="E141:L141"/>
    <mergeCell ref="I142:L142"/>
    <mergeCell ref="E146:L146"/>
    <mergeCell ref="E147:L147"/>
    <mergeCell ref="E148:L148"/>
    <mergeCell ref="E149:L149"/>
    <mergeCell ref="I150:L150"/>
    <mergeCell ref="E154:L154"/>
    <mergeCell ref="E155:L155"/>
    <mergeCell ref="E156:L156"/>
    <mergeCell ref="E157:L157"/>
    <mergeCell ref="E158:L158"/>
    <mergeCell ref="E159:L159"/>
    <mergeCell ref="E160:L160"/>
    <mergeCell ref="E161:L161"/>
    <mergeCell ref="E162:L162"/>
    <mergeCell ref="E166:L166"/>
    <mergeCell ref="E168:L168"/>
    <mergeCell ref="E178:H178"/>
    <mergeCell ref="I178:L178"/>
    <mergeCell ref="F179:G179"/>
    <mergeCell ref="I179:J179"/>
    <mergeCell ref="I180:L180"/>
    <mergeCell ref="J181:K181"/>
    <mergeCell ref="H183:L183"/>
    <mergeCell ref="E186:L186"/>
    <mergeCell ref="E187:L187"/>
    <mergeCell ref="E188:L188"/>
    <mergeCell ref="E189:L189"/>
    <mergeCell ref="E190:L190"/>
    <mergeCell ref="E191:L191"/>
    <mergeCell ref="E192:L192"/>
    <mergeCell ref="E193:L193"/>
    <mergeCell ref="E194:L194"/>
    <mergeCell ref="E195:L195"/>
    <mergeCell ref="E196:L196"/>
    <mergeCell ref="E197:L197"/>
    <mergeCell ref="E198:L198"/>
    <mergeCell ref="E199:L199"/>
    <mergeCell ref="E200:L200"/>
    <mergeCell ref="E201:L201"/>
    <mergeCell ref="E202:L202"/>
    <mergeCell ref="E203:L203"/>
    <mergeCell ref="E204:L204"/>
    <mergeCell ref="E205:L205"/>
    <mergeCell ref="E206:L206"/>
    <mergeCell ref="E207:L207"/>
    <mergeCell ref="E208:L208"/>
    <mergeCell ref="E209:L209"/>
    <mergeCell ref="E214:L214"/>
    <mergeCell ref="E215:L215"/>
    <mergeCell ref="E216:L216"/>
    <mergeCell ref="E217:L217"/>
    <mergeCell ref="I218:L218"/>
    <mergeCell ref="I219:L219"/>
    <mergeCell ref="I220:L220"/>
    <mergeCell ref="I221:L221"/>
    <mergeCell ref="I222:L222"/>
    <mergeCell ref="I223:L223"/>
    <mergeCell ref="I224:L224"/>
    <mergeCell ref="I225:L225"/>
    <mergeCell ref="I226:L226"/>
    <mergeCell ref="I227:L227"/>
    <mergeCell ref="I228:L228"/>
    <mergeCell ref="I229:L229"/>
    <mergeCell ref="I230:L230"/>
    <mergeCell ref="I231:L231"/>
    <mergeCell ref="I232:L232"/>
    <mergeCell ref="I233:L233"/>
    <mergeCell ref="I234:L234"/>
    <mergeCell ref="I235:L235"/>
    <mergeCell ref="I236:L236"/>
    <mergeCell ref="I237:L237"/>
    <mergeCell ref="I238:L238"/>
    <mergeCell ref="I239:L239"/>
    <mergeCell ref="I240:L240"/>
    <mergeCell ref="I241:L241"/>
    <mergeCell ref="I242:L242"/>
    <mergeCell ref="I243:L243"/>
    <mergeCell ref="I244:L244"/>
    <mergeCell ref="I245:L245"/>
    <mergeCell ref="I246:L246"/>
    <mergeCell ref="I247:L247"/>
    <mergeCell ref="I248:L248"/>
    <mergeCell ref="I249:L249"/>
    <mergeCell ref="I250:L250"/>
    <mergeCell ref="I251:L251"/>
    <mergeCell ref="I252:L252"/>
    <mergeCell ref="I253:L253"/>
    <mergeCell ref="E254:L254"/>
    <mergeCell ref="J255:K255"/>
    <mergeCell ref="I256:J256"/>
    <mergeCell ref="K256:L256"/>
    <mergeCell ref="E258:L258"/>
    <mergeCell ref="J259:K259"/>
    <mergeCell ref="I262:L262"/>
    <mergeCell ref="I263:L263"/>
    <mergeCell ref="J267:L267"/>
    <mergeCell ref="G268:L268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52"/>
  <sheetViews>
    <sheetView workbookViewId="0">
      <selection activeCell="P40" sqref="P40"/>
    </sheetView>
  </sheetViews>
  <sheetFormatPr defaultColWidth="9" defaultRowHeight="14.25"/>
  <sheetData>
    <row r="1" ht="15.75" spans="1:20">
      <c r="A1" s="1" t="s">
        <v>1239</v>
      </c>
      <c r="B1" s="1" t="s">
        <v>1240</v>
      </c>
      <c r="C1" s="2"/>
      <c r="D1" s="3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4"/>
      <c r="T1" s="4"/>
    </row>
    <row r="2" ht="15" spans="1:20">
      <c r="A2" s="6">
        <v>1</v>
      </c>
      <c r="B2" s="6" t="s">
        <v>441</v>
      </c>
      <c r="C2" s="7"/>
      <c r="D2" s="4"/>
      <c r="E2" s="8"/>
      <c r="F2" s="8"/>
      <c r="G2" s="9" t="str">
        <f t="shared" ref="G2:R2" si="0">VLOOKUP(G3,$A:$B,2,0)</f>
        <v>VCCA</v>
      </c>
      <c r="H2" s="9" t="str">
        <f t="shared" si="0"/>
        <v>VCCA2</v>
      </c>
      <c r="I2" s="9" t="str">
        <f t="shared" si="0"/>
        <v>P35</v>
      </c>
      <c r="J2" s="9" t="str">
        <f t="shared" si="0"/>
        <v>P34</v>
      </c>
      <c r="K2" s="9" t="str">
        <f t="shared" si="0"/>
        <v>EXT_LDO_EN</v>
      </c>
      <c r="L2" s="9" t="str">
        <f t="shared" si="0"/>
        <v>P33</v>
      </c>
      <c r="M2" s="9" t="str">
        <f t="shared" si="0"/>
        <v>P32</v>
      </c>
      <c r="N2" s="10" t="str">
        <f t="shared" si="0"/>
        <v>EXT_RSTN_EN</v>
      </c>
      <c r="O2" s="10" t="str">
        <f t="shared" si="0"/>
        <v>EXT_RSTN/POR_NRST_OUT</v>
      </c>
      <c r="P2" s="9" t="str">
        <f t="shared" si="0"/>
        <v>P31</v>
      </c>
      <c r="Q2" s="9" t="str">
        <f t="shared" si="0"/>
        <v>P30</v>
      </c>
      <c r="R2" s="9" t="str">
        <f t="shared" si="0"/>
        <v>P29</v>
      </c>
      <c r="S2" s="8"/>
      <c r="T2" s="8"/>
    </row>
    <row r="3" ht="15" spans="1:20">
      <c r="A3" s="11">
        <v>2</v>
      </c>
      <c r="B3" s="6" t="s">
        <v>1241</v>
      </c>
      <c r="C3" s="7"/>
      <c r="D3" s="4"/>
      <c r="E3" s="8"/>
      <c r="F3" s="8"/>
      <c r="G3" s="9">
        <v>48</v>
      </c>
      <c r="H3" s="9">
        <v>47</v>
      </c>
      <c r="I3" s="9">
        <v>46</v>
      </c>
      <c r="J3" s="9">
        <v>45</v>
      </c>
      <c r="K3" s="9">
        <v>44</v>
      </c>
      <c r="L3" s="9">
        <v>43</v>
      </c>
      <c r="M3" s="9">
        <v>42</v>
      </c>
      <c r="N3" s="9">
        <v>41</v>
      </c>
      <c r="O3" s="9">
        <v>40</v>
      </c>
      <c r="P3" s="9">
        <v>39</v>
      </c>
      <c r="Q3" s="9">
        <v>38</v>
      </c>
      <c r="R3" s="9">
        <v>37</v>
      </c>
      <c r="S3" s="8"/>
      <c r="T3" s="8"/>
    </row>
    <row r="4" ht="15" spans="1:20">
      <c r="A4" s="6">
        <v>3</v>
      </c>
      <c r="B4" s="6" t="s">
        <v>1242</v>
      </c>
      <c r="C4" s="7"/>
      <c r="D4" s="12"/>
      <c r="E4" s="9" t="str">
        <f t="shared" ref="E4:E15" si="1">VLOOKUP(F4,A:B,2,0)</f>
        <v>V12M</v>
      </c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>
        <v>36</v>
      </c>
      <c r="T4" s="9" t="str">
        <f t="shared" ref="T4:T15" si="2">VLOOKUP(S4,$A:$B,2,0)</f>
        <v>P28</v>
      </c>
    </row>
    <row r="5" ht="15" spans="1:20">
      <c r="A5" s="6">
        <v>4</v>
      </c>
      <c r="B5" s="6" t="s">
        <v>1243</v>
      </c>
      <c r="C5" s="7"/>
      <c r="D5" s="12"/>
      <c r="E5" s="9" t="str">
        <f t="shared" si="1"/>
        <v>P0</v>
      </c>
      <c r="F5" s="9">
        <v>2</v>
      </c>
      <c r="G5" s="9"/>
      <c r="H5" s="13" t="s">
        <v>205</v>
      </c>
      <c r="I5" s="14"/>
      <c r="J5" s="14"/>
      <c r="K5" s="14"/>
      <c r="L5" s="14"/>
      <c r="M5" s="14"/>
      <c r="N5" s="14"/>
      <c r="O5" s="14"/>
      <c r="P5" s="14"/>
      <c r="Q5" s="15"/>
      <c r="R5" s="9"/>
      <c r="S5" s="9">
        <v>35</v>
      </c>
      <c r="T5" s="9" t="str">
        <f t="shared" si="2"/>
        <v>P27</v>
      </c>
    </row>
    <row r="6" ht="15" spans="1:20">
      <c r="A6" s="6">
        <v>5</v>
      </c>
      <c r="B6" s="6" t="s">
        <v>1244</v>
      </c>
      <c r="C6" s="7"/>
      <c r="D6" s="12"/>
      <c r="E6" s="9" t="str">
        <f t="shared" si="1"/>
        <v>P1</v>
      </c>
      <c r="F6" s="9">
        <v>3</v>
      </c>
      <c r="G6" s="9"/>
      <c r="H6" s="16"/>
      <c r="I6" s="17"/>
      <c r="J6" s="17"/>
      <c r="K6" s="17"/>
      <c r="L6" s="17"/>
      <c r="M6" s="17"/>
      <c r="N6" s="17"/>
      <c r="O6" s="17"/>
      <c r="P6" s="17"/>
      <c r="Q6" s="18"/>
      <c r="R6" s="9"/>
      <c r="S6" s="9">
        <v>34</v>
      </c>
      <c r="T6" s="9" t="str">
        <f t="shared" si="2"/>
        <v>P26</v>
      </c>
    </row>
    <row r="7" ht="15" spans="1:20">
      <c r="A7" s="6">
        <v>6</v>
      </c>
      <c r="B7" s="6" t="s">
        <v>1245</v>
      </c>
      <c r="C7" s="7"/>
      <c r="D7" s="12"/>
      <c r="E7" s="9" t="str">
        <f t="shared" si="1"/>
        <v>P2</v>
      </c>
      <c r="F7" s="9">
        <v>4</v>
      </c>
      <c r="G7" s="9"/>
      <c r="H7" s="16"/>
      <c r="I7" s="17"/>
      <c r="J7" s="17"/>
      <c r="K7" s="17"/>
      <c r="L7" s="17"/>
      <c r="M7" s="17"/>
      <c r="N7" s="17"/>
      <c r="O7" s="17"/>
      <c r="P7" s="17"/>
      <c r="Q7" s="18"/>
      <c r="R7" s="9"/>
      <c r="S7" s="9">
        <v>33</v>
      </c>
      <c r="T7" s="9" t="str">
        <f t="shared" si="2"/>
        <v>P25</v>
      </c>
    </row>
    <row r="8" ht="15" spans="1:20">
      <c r="A8" s="6">
        <v>7</v>
      </c>
      <c r="B8" s="6" t="s">
        <v>1246</v>
      </c>
      <c r="C8" s="7"/>
      <c r="D8" s="12"/>
      <c r="E8" s="9" t="str">
        <f t="shared" si="1"/>
        <v>P3</v>
      </c>
      <c r="F8" s="9">
        <v>5</v>
      </c>
      <c r="G8" s="9"/>
      <c r="H8" s="16"/>
      <c r="I8" s="17"/>
      <c r="J8" s="17"/>
      <c r="K8" s="17"/>
      <c r="L8" s="17"/>
      <c r="M8" s="17"/>
      <c r="N8" s="17"/>
      <c r="O8" s="17"/>
      <c r="P8" s="17"/>
      <c r="Q8" s="18"/>
      <c r="R8" s="9"/>
      <c r="S8" s="9">
        <v>32</v>
      </c>
      <c r="T8" s="9" t="str">
        <f t="shared" si="2"/>
        <v>P24</v>
      </c>
    </row>
    <row r="9" ht="15" spans="1:20">
      <c r="A9" s="6">
        <v>8</v>
      </c>
      <c r="B9" s="6" t="s">
        <v>1247</v>
      </c>
      <c r="C9" s="7"/>
      <c r="D9" s="12"/>
      <c r="E9" s="9" t="str">
        <f t="shared" si="1"/>
        <v>P4</v>
      </c>
      <c r="F9" s="9">
        <v>6</v>
      </c>
      <c r="G9" s="9"/>
      <c r="H9" s="16"/>
      <c r="I9" s="17"/>
      <c r="J9" s="17"/>
      <c r="K9" s="17"/>
      <c r="L9" s="17"/>
      <c r="M9" s="17"/>
      <c r="N9" s="17"/>
      <c r="O9" s="17"/>
      <c r="P9" s="17"/>
      <c r="Q9" s="18"/>
      <c r="R9" s="9"/>
      <c r="S9" s="9">
        <v>31</v>
      </c>
      <c r="T9" s="9" t="str">
        <f t="shared" si="2"/>
        <v>VCC</v>
      </c>
    </row>
    <row r="10" ht="15" spans="1:20">
      <c r="A10" s="6">
        <v>9</v>
      </c>
      <c r="B10" s="6" t="s">
        <v>1248</v>
      </c>
      <c r="C10" s="7"/>
      <c r="D10" s="12"/>
      <c r="E10" s="9" t="str">
        <f t="shared" si="1"/>
        <v>P5</v>
      </c>
      <c r="F10" s="9">
        <v>7</v>
      </c>
      <c r="G10" s="9"/>
      <c r="H10" s="16"/>
      <c r="I10" s="17"/>
      <c r="J10" s="17"/>
      <c r="K10" s="17"/>
      <c r="L10" s="17"/>
      <c r="M10" s="17"/>
      <c r="N10" s="17"/>
      <c r="O10" s="17"/>
      <c r="P10" s="17"/>
      <c r="Q10" s="18"/>
      <c r="R10" s="9"/>
      <c r="S10" s="9">
        <v>30</v>
      </c>
      <c r="T10" s="9" t="str">
        <f t="shared" si="2"/>
        <v>P23</v>
      </c>
    </row>
    <row r="11" ht="15" spans="1:20">
      <c r="A11" s="6">
        <v>10</v>
      </c>
      <c r="B11" s="6" t="s">
        <v>1249</v>
      </c>
      <c r="C11" s="7"/>
      <c r="D11" s="12"/>
      <c r="E11" s="9" t="str">
        <f t="shared" si="1"/>
        <v>VCCA1</v>
      </c>
      <c r="F11" s="9">
        <v>8</v>
      </c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8"/>
      <c r="R11" s="9"/>
      <c r="S11" s="9">
        <v>29</v>
      </c>
      <c r="T11" s="9" t="str">
        <f t="shared" si="2"/>
        <v>P22</v>
      </c>
    </row>
    <row r="12" ht="15" spans="1:20">
      <c r="A12" s="6">
        <v>11</v>
      </c>
      <c r="B12" s="6" t="s">
        <v>1250</v>
      </c>
      <c r="C12" s="7"/>
      <c r="D12" s="12"/>
      <c r="E12" s="9" t="str">
        <f t="shared" si="1"/>
        <v>P6</v>
      </c>
      <c r="F12" s="9">
        <v>9</v>
      </c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8"/>
      <c r="R12" s="9"/>
      <c r="S12" s="9">
        <v>28</v>
      </c>
      <c r="T12" s="9" t="str">
        <f t="shared" si="2"/>
        <v>P21</v>
      </c>
    </row>
    <row r="13" ht="15" spans="1:20">
      <c r="A13" s="6">
        <v>12</v>
      </c>
      <c r="B13" s="6" t="s">
        <v>1251</v>
      </c>
      <c r="C13" s="7"/>
      <c r="D13" s="12"/>
      <c r="E13" s="9" t="str">
        <f t="shared" si="1"/>
        <v>P7</v>
      </c>
      <c r="F13" s="9">
        <v>10</v>
      </c>
      <c r="G13" s="9"/>
      <c r="H13" s="16"/>
      <c r="I13" s="17"/>
      <c r="J13" s="17"/>
      <c r="K13" s="17"/>
      <c r="L13" s="17"/>
      <c r="M13" s="17"/>
      <c r="N13" s="17"/>
      <c r="O13" s="17"/>
      <c r="P13" s="17"/>
      <c r="Q13" s="18"/>
      <c r="R13" s="9"/>
      <c r="S13" s="9">
        <v>27</v>
      </c>
      <c r="T13" s="9" t="str">
        <f t="shared" si="2"/>
        <v>P20</v>
      </c>
    </row>
    <row r="14" ht="15" spans="1:20">
      <c r="A14" s="6">
        <v>13</v>
      </c>
      <c r="B14" s="6" t="s">
        <v>1252</v>
      </c>
      <c r="C14" s="7"/>
      <c r="D14" s="12"/>
      <c r="E14" s="9" t="str">
        <f t="shared" si="1"/>
        <v>P8</v>
      </c>
      <c r="F14" s="9">
        <v>11</v>
      </c>
      <c r="G14" s="9"/>
      <c r="H14" s="19"/>
      <c r="I14" s="20"/>
      <c r="J14" s="20"/>
      <c r="K14" s="20"/>
      <c r="L14" s="20"/>
      <c r="M14" s="20"/>
      <c r="N14" s="20"/>
      <c r="O14" s="20"/>
      <c r="P14" s="20"/>
      <c r="Q14" s="21"/>
      <c r="R14" s="9"/>
      <c r="S14" s="9">
        <v>26</v>
      </c>
      <c r="T14" s="9" t="str">
        <f t="shared" si="2"/>
        <v>P19</v>
      </c>
    </row>
    <row r="15" ht="15" spans="1:20">
      <c r="A15" s="6">
        <v>14</v>
      </c>
      <c r="B15" s="6" t="s">
        <v>1253</v>
      </c>
      <c r="C15" s="7"/>
      <c r="D15" s="12"/>
      <c r="E15" s="9" t="str">
        <f t="shared" si="1"/>
        <v>P9</v>
      </c>
      <c r="F15" s="22">
        <v>12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23">
        <v>25</v>
      </c>
      <c r="T15" s="9" t="str">
        <f t="shared" si="2"/>
        <v>P18</v>
      </c>
    </row>
    <row r="16" ht="15" spans="1:20">
      <c r="A16" s="6">
        <v>15</v>
      </c>
      <c r="B16" s="6" t="s">
        <v>1254</v>
      </c>
      <c r="C16" s="7"/>
      <c r="D16" s="4"/>
      <c r="E16" s="8"/>
      <c r="F16" s="8"/>
      <c r="G16" s="9">
        <v>13</v>
      </c>
      <c r="H16" s="9">
        <v>14</v>
      </c>
      <c r="I16" s="9">
        <v>15</v>
      </c>
      <c r="J16" s="9">
        <v>16</v>
      </c>
      <c r="K16" s="9">
        <v>17</v>
      </c>
      <c r="L16" s="9">
        <v>18</v>
      </c>
      <c r="M16" s="9">
        <v>19</v>
      </c>
      <c r="N16" s="9">
        <v>20</v>
      </c>
      <c r="O16" s="9">
        <v>21</v>
      </c>
      <c r="P16" s="9">
        <v>22</v>
      </c>
      <c r="Q16" s="9">
        <v>23</v>
      </c>
      <c r="R16" s="9">
        <v>24</v>
      </c>
      <c r="S16" s="8"/>
      <c r="T16" s="8"/>
    </row>
    <row r="17" ht="15.75" spans="1:20">
      <c r="A17" s="6">
        <v>16</v>
      </c>
      <c r="B17" s="6" t="s">
        <v>1255</v>
      </c>
      <c r="C17" s="7"/>
      <c r="D17" s="4"/>
      <c r="E17" s="8"/>
      <c r="F17" s="8"/>
      <c r="G17" s="9" t="str">
        <f t="shared" ref="G17:R17" si="3">VLOOKUP(G16,$A:$B,2,0)</f>
        <v>P10</v>
      </c>
      <c r="H17" s="9" t="str">
        <f t="shared" si="3"/>
        <v>P11</v>
      </c>
      <c r="I17" s="9" t="str">
        <f t="shared" si="3"/>
        <v>P12</v>
      </c>
      <c r="J17" s="9" t="str">
        <f t="shared" si="3"/>
        <v>P13</v>
      </c>
      <c r="K17" s="9" t="str">
        <f t="shared" si="3"/>
        <v>VCC</v>
      </c>
      <c r="L17" s="9" t="str">
        <f t="shared" si="3"/>
        <v>VREFN_ADC</v>
      </c>
      <c r="M17" s="9" t="str">
        <f t="shared" si="3"/>
        <v>VREFP_ADC</v>
      </c>
      <c r="N17" s="9" t="str">
        <f t="shared" si="3"/>
        <v>VCCA3</v>
      </c>
      <c r="O17" s="9" t="str">
        <f t="shared" si="3"/>
        <v>P14</v>
      </c>
      <c r="P17" s="9" t="str">
        <f t="shared" si="3"/>
        <v>P15</v>
      </c>
      <c r="Q17" s="9" t="str">
        <f t="shared" si="3"/>
        <v>P16</v>
      </c>
      <c r="R17" s="9" t="str">
        <f t="shared" si="3"/>
        <v>P17</v>
      </c>
      <c r="S17" s="8"/>
      <c r="T17" s="8"/>
    </row>
    <row r="18" ht="15" spans="1:20">
      <c r="A18" s="6">
        <v>17</v>
      </c>
      <c r="B18" s="6" t="s">
        <v>246</v>
      </c>
      <c r="C18" s="7"/>
      <c r="D18" s="4"/>
      <c r="E18" s="24"/>
      <c r="F18" s="24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4"/>
      <c r="T18" s="24"/>
    </row>
    <row r="19" ht="15" spans="1:20">
      <c r="A19" s="6">
        <v>18</v>
      </c>
      <c r="B19" s="6" t="s">
        <v>1256</v>
      </c>
      <c r="C19" s="7"/>
      <c r="D19" s="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ht="15" spans="1:20">
      <c r="A20" s="6">
        <v>19</v>
      </c>
      <c r="B20" s="6" t="s">
        <v>1257</v>
      </c>
      <c r="C20" s="7"/>
      <c r="D20" s="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ht="15" spans="1:20">
      <c r="A21" s="6">
        <v>20</v>
      </c>
      <c r="B21" s="6" t="s">
        <v>1258</v>
      </c>
      <c r="C21" s="7"/>
      <c r="D21" s="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ht="15" spans="1:20">
      <c r="A22" s="6">
        <v>21</v>
      </c>
      <c r="B22" s="6" t="s">
        <v>1259</v>
      </c>
      <c r="C22" s="7"/>
      <c r="D22" s="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ht="15" spans="1:20">
      <c r="A23" s="6">
        <v>22</v>
      </c>
      <c r="B23" s="6" t="s">
        <v>1260</v>
      </c>
      <c r="C23" s="7"/>
      <c r="D23" s="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ht="15" spans="1:20">
      <c r="A24" s="6">
        <v>23</v>
      </c>
      <c r="B24" s="6" t="s">
        <v>1261</v>
      </c>
      <c r="C24" s="7"/>
      <c r="D24" s="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ht="15" spans="1:20">
      <c r="A25" s="6">
        <v>24</v>
      </c>
      <c r="B25" s="6" t="s">
        <v>1262</v>
      </c>
      <c r="C25" s="7"/>
      <c r="D25" s="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ht="15" spans="1:20">
      <c r="A26" s="6">
        <v>25</v>
      </c>
      <c r="B26" s="6" t="s">
        <v>1263</v>
      </c>
      <c r="C26" s="7"/>
      <c r="D26" s="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ht="15" spans="1:20">
      <c r="A27" s="6">
        <v>26</v>
      </c>
      <c r="B27" s="6" t="s">
        <v>1264</v>
      </c>
      <c r="C27" s="7"/>
      <c r="D27" s="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ht="15" spans="1:20">
      <c r="A28" s="6">
        <v>27</v>
      </c>
      <c r="B28" s="6" t="s">
        <v>1265</v>
      </c>
      <c r="C28" s="7"/>
      <c r="D28" s="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ht="15" spans="1:20">
      <c r="A29" s="6">
        <v>28</v>
      </c>
      <c r="B29" s="6" t="s">
        <v>1266</v>
      </c>
      <c r="C29" s="7"/>
      <c r="D29" s="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ht="15" spans="1:20">
      <c r="A30" s="6">
        <v>29</v>
      </c>
      <c r="B30" s="6" t="s">
        <v>1267</v>
      </c>
      <c r="C30" s="7"/>
      <c r="D30" s="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ht="15" spans="1:20">
      <c r="A31" s="6">
        <v>30</v>
      </c>
      <c r="B31" s="6" t="s">
        <v>1268</v>
      </c>
      <c r="C31" s="7"/>
      <c r="D31" s="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ht="15" spans="1:20">
      <c r="A32" s="6">
        <v>31</v>
      </c>
      <c r="B32" s="6" t="s">
        <v>246</v>
      </c>
      <c r="C32" s="7"/>
      <c r="D32" s="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ht="15" spans="1:20">
      <c r="A33" s="6">
        <v>32</v>
      </c>
      <c r="B33" s="6" t="s">
        <v>1269</v>
      </c>
      <c r="C33" s="7"/>
      <c r="D33" s="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15" spans="1:20">
      <c r="A34" s="6">
        <v>33</v>
      </c>
      <c r="B34" s="6" t="s">
        <v>1270</v>
      </c>
      <c r="C34" s="7"/>
      <c r="D34" s="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15" spans="1:20">
      <c r="A35" s="6">
        <v>34</v>
      </c>
      <c r="B35" s="6" t="s">
        <v>1271</v>
      </c>
      <c r="C35" s="7"/>
      <c r="D35" s="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15" spans="1:20">
      <c r="A36" s="6">
        <v>35</v>
      </c>
      <c r="B36" s="6" t="s">
        <v>1272</v>
      </c>
      <c r="C36" s="7"/>
      <c r="D36" s="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15" spans="1:20">
      <c r="A37" s="6">
        <v>36</v>
      </c>
      <c r="B37" s="6" t="s">
        <v>1273</v>
      </c>
      <c r="C37" s="7"/>
      <c r="D37" s="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15" spans="1:20">
      <c r="A38" s="6">
        <v>37</v>
      </c>
      <c r="B38" s="6" t="s">
        <v>1274</v>
      </c>
      <c r="C38" s="7"/>
      <c r="D38" s="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15" spans="1:20">
      <c r="A39" s="6">
        <v>38</v>
      </c>
      <c r="B39" s="6" t="s">
        <v>1275</v>
      </c>
      <c r="C39" s="7"/>
      <c r="D39" s="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15" spans="1:20">
      <c r="A40" s="6">
        <v>39</v>
      </c>
      <c r="B40" s="6" t="s">
        <v>1276</v>
      </c>
      <c r="C40" s="7"/>
      <c r="D40" s="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15" spans="1:20">
      <c r="A41" s="6">
        <v>40</v>
      </c>
      <c r="B41" s="9" t="s">
        <v>1277</v>
      </c>
      <c r="C41" s="7"/>
      <c r="D41" s="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15" spans="1:20">
      <c r="A42" s="6">
        <v>41</v>
      </c>
      <c r="B42" s="9" t="s">
        <v>1278</v>
      </c>
      <c r="C42" s="7"/>
      <c r="D42" s="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15" spans="1:20">
      <c r="A43" s="6">
        <v>42</v>
      </c>
      <c r="B43" s="6" t="s">
        <v>1279</v>
      </c>
      <c r="C43" s="7"/>
      <c r="D43" s="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15" spans="1:20">
      <c r="A44" s="6">
        <v>43</v>
      </c>
      <c r="B44" s="6" t="s">
        <v>1280</v>
      </c>
      <c r="C44" s="7"/>
      <c r="D44" s="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15" spans="1:20">
      <c r="A45" s="6">
        <v>44</v>
      </c>
      <c r="B45" s="6" t="s">
        <v>1281</v>
      </c>
      <c r="C45" s="7"/>
      <c r="D45" s="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15" spans="1:20">
      <c r="A46" s="6">
        <v>45</v>
      </c>
      <c r="B46" s="6" t="s">
        <v>1282</v>
      </c>
      <c r="C46" s="7"/>
      <c r="D46" s="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15" spans="1:20">
      <c r="A47" s="6">
        <v>46</v>
      </c>
      <c r="B47" s="6" t="s">
        <v>1283</v>
      </c>
      <c r="C47" s="7"/>
      <c r="D47" s="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15" spans="1:20">
      <c r="A48" s="6">
        <v>47</v>
      </c>
      <c r="B48" s="6" t="s">
        <v>1284</v>
      </c>
      <c r="C48" s="7"/>
      <c r="D48" s="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15" spans="1:20">
      <c r="A49" s="6">
        <v>48</v>
      </c>
      <c r="B49" s="6" t="s">
        <v>1285</v>
      </c>
      <c r="C49" s="7"/>
      <c r="D49" s="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15" spans="1:20">
      <c r="A50" s="6" t="s">
        <v>1286</v>
      </c>
      <c r="B50" s="6" t="s">
        <v>613</v>
      </c>
    </row>
    <row r="51" spans="1:20">
      <c r="A51" s="26"/>
      <c r="B51" s="26"/>
    </row>
    <row r="52" spans="1:20">
      <c r="A52" s="26"/>
      <c r="B52" s="26"/>
    </row>
  </sheetData>
  <sheetProtection formatCells="0" formatColumns="0" formatRows="0" insertRows="0" insertColumns="0" insertHyperlinks="0" deleteColumns="0" deleteRows="0" sort="0" autoFilter="0" pivotTables="0"/>
  <mergeCells count="1">
    <mergeCell ref="H5:Q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F6"/>
  <sheetViews>
    <sheetView workbookViewId="0">
      <selection activeCell="F7" sqref="F7"/>
    </sheetView>
  </sheetViews>
  <sheetFormatPr defaultColWidth="9" defaultRowHeight="14.25" outlineLevelRow="5" outlineLevelCol="5"/>
  <sheetData>
    <row r="6" spans="6:6">
      <c r="F6" t="s">
        <v>1287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 _)P:
�Sh�<h�l	g\O�\O�\O� _)P:
 _)P:O(u�v�z�S�b��R�S� _)PFO�OYu _)P:
����^�ޏ0RPAD�S�q_�T�N
N _)P:
����^�ޏ0RPAD�S�q_�T�N
N _)P:
����^�ޏ0RPAD�S�q_�T�N
N�^Sf�O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WWO_wpscloud_20260120180457-912b245c81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填表须知</vt:lpstr>
      <vt:lpstr>1.IP list</vt:lpstr>
      <vt:lpstr>2.AD_AA</vt:lpstr>
      <vt:lpstr>3.register</vt:lpstr>
      <vt:lpstr>4.LF_Pinmap</vt:lpstr>
      <vt:lpstr>PMU测试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沈家辉</cp:lastModifiedBy>
  <dcterms:created xsi:type="dcterms:W3CDTF">2015-06-06T02:19:00Z</dcterms:created>
  <dcterms:modified xsi:type="dcterms:W3CDTF">2026-07-13T03:31:18Z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CalculationRule">
    <vt:i4>0</vt:i4>
  </property>
  <property fmtid="{D5CDD505-2E9C-101B-9397-08002B2CF9AE}" pid="4" name="ICV">
    <vt:lpwstr>06C520C9B8F848B282AFCA96119D4DB7_12</vt:lpwstr>
  </property>
</Properties>
</file>